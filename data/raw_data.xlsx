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fa\Downloads\"/>
    </mc:Choice>
  </mc:AlternateContent>
  <xr:revisionPtr revIDLastSave="0" documentId="13_ncr:1_{4F07AC5C-08A5-4D56-A801-EB923BD5CE06}" xr6:coauthVersionLast="47" xr6:coauthVersionMax="47" xr10:uidLastSave="{00000000-0000-0000-0000-000000000000}"/>
  <bookViews>
    <workbookView xWindow="-120" yWindow="-16320" windowWidth="29040" windowHeight="15720" tabRatio="500" activeTab="5" xr2:uid="{00000000-000D-0000-FFFF-FFFF00000000}"/>
  </bookViews>
  <sheets>
    <sheet name="Note di lettura" sheetId="1" r:id="rId1"/>
    <sheet name="Piano dei Conti" sheetId="2" r:id="rId2"/>
    <sheet name="Bilancio Verifica" sheetId="3" r:id="rId3"/>
    <sheet name="SP CEE Valorizzato" sheetId="4" r:id="rId4"/>
    <sheet name="CE CEE Valorizzato" sheetId="5" r:id="rId5"/>
    <sheet name="Schema SP CEE" sheetId="6" r:id="rId6"/>
    <sheet name="Legenda" sheetId="7" r:id="rId7"/>
  </sheets>
  <definedNames>
    <definedName name="_xlnm._FilterDatabase" localSheetId="1" hidden="1">'Piano dei Conti'!$A$1:$I$455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5" l="1"/>
  <c r="B32" i="5"/>
  <c r="B31" i="5"/>
  <c r="B33" i="5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26" i="5" s="1"/>
  <c r="B7" i="5"/>
  <c r="B6" i="5"/>
  <c r="B5" i="5"/>
  <c r="B4" i="5"/>
  <c r="B8" i="5" s="1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3" i="4"/>
  <c r="B42" i="4"/>
  <c r="B41" i="4"/>
  <c r="B40" i="4"/>
  <c r="B34" i="4"/>
  <c r="B32" i="4"/>
  <c r="B31" i="4"/>
  <c r="B30" i="4"/>
  <c r="B29" i="4"/>
  <c r="B28" i="4"/>
  <c r="B27" i="4"/>
  <c r="B26" i="4"/>
  <c r="B25" i="4"/>
  <c r="B24" i="4"/>
  <c r="B23" i="4"/>
  <c r="B22" i="4"/>
  <c r="B21" i="4"/>
  <c r="B33" i="4" s="1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19" i="4" s="1"/>
  <c r="B36" i="4" s="1"/>
  <c r="D5" i="3"/>
  <c r="C5" i="3"/>
  <c r="E5" i="3" s="1"/>
  <c r="D4" i="3"/>
  <c r="C4" i="3"/>
  <c r="E4" i="3" s="1"/>
  <c r="H457" i="2"/>
  <c r="G457" i="2"/>
  <c r="G458" i="2" s="1"/>
  <c r="H458" i="2" s="1"/>
  <c r="H454" i="2"/>
  <c r="G454" i="2"/>
  <c r="H453" i="2"/>
  <c r="D22" i="3" s="1"/>
  <c r="G453" i="2"/>
  <c r="C22" i="3" s="1"/>
  <c r="E22" i="3" s="1"/>
  <c r="H446" i="2"/>
  <c r="G446" i="2"/>
  <c r="H445" i="2"/>
  <c r="D21" i="3" s="1"/>
  <c r="G445" i="2"/>
  <c r="C21" i="3" s="1"/>
  <c r="E21" i="3" s="1"/>
  <c r="H440" i="2"/>
  <c r="G440" i="2"/>
  <c r="H435" i="2"/>
  <c r="G435" i="2"/>
  <c r="H434" i="2"/>
  <c r="D20" i="3" s="1"/>
  <c r="G434" i="2"/>
  <c r="C20" i="3" s="1"/>
  <c r="E20" i="3" s="1"/>
  <c r="H425" i="2"/>
  <c r="G425" i="2"/>
  <c r="H424" i="2"/>
  <c r="D19" i="3" s="1"/>
  <c r="G424" i="2"/>
  <c r="C19" i="3" s="1"/>
  <c r="E19" i="3" s="1"/>
  <c r="H416" i="2"/>
  <c r="G416" i="2"/>
  <c r="H411" i="2"/>
  <c r="G411" i="2"/>
  <c r="H410" i="2"/>
  <c r="D18" i="3" s="1"/>
  <c r="G410" i="2"/>
  <c r="C18" i="3" s="1"/>
  <c r="E18" i="3" s="1"/>
  <c r="H394" i="2"/>
  <c r="G394" i="2"/>
  <c r="H391" i="2"/>
  <c r="G391" i="2"/>
  <c r="H387" i="2"/>
  <c r="G387" i="2"/>
  <c r="H382" i="2"/>
  <c r="G382" i="2"/>
  <c r="H377" i="2"/>
  <c r="G377" i="2"/>
  <c r="H368" i="2"/>
  <c r="G368" i="2"/>
  <c r="H360" i="2"/>
  <c r="G360" i="2"/>
  <c r="H325" i="2"/>
  <c r="G325" i="2"/>
  <c r="H315" i="2"/>
  <c r="G315" i="2"/>
  <c r="H314" i="2"/>
  <c r="D17" i="3" s="1"/>
  <c r="G314" i="2"/>
  <c r="C17" i="3" s="1"/>
  <c r="E17" i="3" s="1"/>
  <c r="H305" i="2"/>
  <c r="G305" i="2"/>
  <c r="H302" i="2"/>
  <c r="G302" i="2"/>
  <c r="H300" i="2"/>
  <c r="G300" i="2"/>
  <c r="H296" i="2"/>
  <c r="G296" i="2"/>
  <c r="H287" i="2"/>
  <c r="G287" i="2"/>
  <c r="H286" i="2"/>
  <c r="D16" i="3" s="1"/>
  <c r="G286" i="2"/>
  <c r="C16" i="3" s="1"/>
  <c r="E16" i="3" s="1"/>
  <c r="H283" i="2"/>
  <c r="G283" i="2"/>
  <c r="H281" i="2"/>
  <c r="G281" i="2"/>
  <c r="H280" i="2"/>
  <c r="D15" i="3" s="1"/>
  <c r="G280" i="2"/>
  <c r="C15" i="3" s="1"/>
  <c r="E15" i="3" s="1"/>
  <c r="H273" i="2"/>
  <c r="G273" i="2"/>
  <c r="H267" i="2"/>
  <c r="G267" i="2"/>
  <c r="H259" i="2"/>
  <c r="G259" i="2"/>
  <c r="H257" i="2"/>
  <c r="G257" i="2"/>
  <c r="H255" i="2"/>
  <c r="G255" i="2"/>
  <c r="H253" i="2"/>
  <c r="G253" i="2"/>
  <c r="H250" i="2"/>
  <c r="G250" i="2"/>
  <c r="H248" i="2"/>
  <c r="G248" i="2"/>
  <c r="H241" i="2"/>
  <c r="G241" i="2"/>
  <c r="H239" i="2"/>
  <c r="G239" i="2"/>
  <c r="H235" i="2"/>
  <c r="G235" i="2"/>
  <c r="H227" i="2"/>
  <c r="G227" i="2"/>
  <c r="H224" i="2"/>
  <c r="G224" i="2"/>
  <c r="H221" i="2"/>
  <c r="G221" i="2"/>
  <c r="H220" i="2"/>
  <c r="D14" i="3" s="1"/>
  <c r="G220" i="2"/>
  <c r="C14" i="3" s="1"/>
  <c r="E14" i="3" s="1"/>
  <c r="H218" i="2"/>
  <c r="G218" i="2"/>
  <c r="H217" i="2"/>
  <c r="D13" i="3" s="1"/>
  <c r="G217" i="2"/>
  <c r="C13" i="3" s="1"/>
  <c r="E13" i="3" s="1"/>
  <c r="H211" i="2"/>
  <c r="G211" i="2"/>
  <c r="H209" i="2"/>
  <c r="G209" i="2"/>
  <c r="H207" i="2"/>
  <c r="G207" i="2"/>
  <c r="H205" i="2"/>
  <c r="G205" i="2"/>
  <c r="H204" i="2"/>
  <c r="D12" i="3" s="1"/>
  <c r="G204" i="2"/>
  <c r="C12" i="3" s="1"/>
  <c r="E12" i="3" s="1"/>
  <c r="H202" i="2"/>
  <c r="G202" i="2"/>
  <c r="H199" i="2"/>
  <c r="G199" i="2"/>
  <c r="H196" i="2"/>
  <c r="G196" i="2"/>
  <c r="H194" i="2"/>
  <c r="G194" i="2"/>
  <c r="H188" i="2"/>
  <c r="G188" i="2"/>
  <c r="H186" i="2"/>
  <c r="G186" i="2"/>
  <c r="H184" i="2"/>
  <c r="G184" i="2"/>
  <c r="H182" i="2"/>
  <c r="G182" i="2"/>
  <c r="H180" i="2"/>
  <c r="G180" i="2"/>
  <c r="H178" i="2"/>
  <c r="G178" i="2"/>
  <c r="H177" i="2"/>
  <c r="D11" i="3" s="1"/>
  <c r="G177" i="2"/>
  <c r="C11" i="3" s="1"/>
  <c r="E11" i="3" s="1"/>
  <c r="H174" i="2"/>
  <c r="G174" i="2"/>
  <c r="H172" i="2"/>
  <c r="G172" i="2"/>
  <c r="H171" i="2"/>
  <c r="D10" i="3" s="1"/>
  <c r="G171" i="2"/>
  <c r="C10" i="3" s="1"/>
  <c r="H167" i="2"/>
  <c r="G167" i="2"/>
  <c r="H165" i="2"/>
  <c r="G165" i="2"/>
  <c r="H159" i="2"/>
  <c r="G159" i="2"/>
  <c r="H158" i="2"/>
  <c r="D9" i="3" s="1"/>
  <c r="G158" i="2"/>
  <c r="C9" i="3" s="1"/>
  <c r="E9" i="3" s="1"/>
  <c r="H155" i="2"/>
  <c r="G155" i="2"/>
  <c r="H153" i="2"/>
  <c r="G153" i="2"/>
  <c r="H147" i="2"/>
  <c r="G147" i="2"/>
  <c r="H146" i="2"/>
  <c r="D8" i="3" s="1"/>
  <c r="G146" i="2"/>
  <c r="C8" i="3" s="1"/>
  <c r="E8" i="3" s="1"/>
  <c r="H139" i="2"/>
  <c r="G139" i="2"/>
  <c r="H137" i="2"/>
  <c r="G137" i="2"/>
  <c r="H130" i="2"/>
  <c r="G130" i="2"/>
  <c r="H128" i="2"/>
  <c r="G128" i="2"/>
  <c r="H126" i="2"/>
  <c r="G126" i="2"/>
  <c r="H124" i="2"/>
  <c r="G124" i="2"/>
  <c r="H121" i="2"/>
  <c r="G121" i="2"/>
  <c r="H111" i="2"/>
  <c r="G111" i="2"/>
  <c r="H110" i="2"/>
  <c r="D7" i="3" s="1"/>
  <c r="G110" i="2"/>
  <c r="C7" i="3" s="1"/>
  <c r="E7" i="3" s="1"/>
  <c r="H108" i="2"/>
  <c r="G108" i="2"/>
  <c r="H105" i="2"/>
  <c r="G105" i="2"/>
  <c r="H103" i="2"/>
  <c r="G103" i="2"/>
  <c r="H100" i="2"/>
  <c r="G100" i="2"/>
  <c r="H96" i="2"/>
  <c r="G96" i="2"/>
  <c r="H95" i="2"/>
  <c r="D6" i="3" s="1"/>
  <c r="G95" i="2"/>
  <c r="C6" i="3" s="1"/>
  <c r="E6" i="3" s="1"/>
  <c r="H93" i="2"/>
  <c r="G93" i="2"/>
  <c r="H91" i="2"/>
  <c r="G91" i="2"/>
  <c r="H85" i="2"/>
  <c r="G85" i="2"/>
  <c r="H79" i="2"/>
  <c r="G79" i="2"/>
  <c r="H78" i="2"/>
  <c r="G78" i="2"/>
  <c r="H75" i="2"/>
  <c r="G75" i="2"/>
  <c r="H61" i="2"/>
  <c r="G61" i="2"/>
  <c r="H54" i="2"/>
  <c r="G54" i="2"/>
  <c r="H43" i="2"/>
  <c r="G43" i="2"/>
  <c r="H35" i="2"/>
  <c r="G35" i="2"/>
  <c r="H34" i="2"/>
  <c r="G34" i="2"/>
  <c r="H29" i="2"/>
  <c r="G29" i="2"/>
  <c r="H26" i="2"/>
  <c r="G26" i="2"/>
  <c r="H23" i="2"/>
  <c r="G23" i="2"/>
  <c r="H16" i="2"/>
  <c r="G16" i="2"/>
  <c r="H10" i="2"/>
  <c r="G10" i="2"/>
  <c r="H7" i="2"/>
  <c r="G7" i="2"/>
  <c r="H3" i="2"/>
  <c r="G3" i="2"/>
  <c r="H2" i="2"/>
  <c r="D3" i="3" s="1"/>
  <c r="G2" i="2"/>
  <c r="C3" i="3" s="1"/>
  <c r="E3" i="3" l="1"/>
  <c r="C23" i="3"/>
  <c r="B28" i="5"/>
  <c r="B35" i="5" s="1"/>
  <c r="B38" i="5" s="1"/>
  <c r="B44" i="4" s="1"/>
  <c r="B45" i="4" s="1"/>
  <c r="B61" i="4" s="1"/>
  <c r="D23" i="3"/>
  <c r="B63" i="4"/>
  <c r="E10" i="3"/>
  <c r="E23" i="3" l="1"/>
  <c r="C24" i="3"/>
  <c r="D24" i="3"/>
</calcChain>
</file>

<file path=xl/sharedStrings.xml><?xml version="1.0" encoding="utf-8"?>
<sst xmlns="http://schemas.openxmlformats.org/spreadsheetml/2006/main" count="2876" uniqueCount="1309">
  <si>
    <t>PIANO DEI CONTI POPOLATO - Srl manifatturiera/commerciale - Esercizio 2026 - Stile Zucchetti AGO</t>
  </si>
  <si>
    <t>AZIENDA DI ESEMPIO</t>
  </si>
  <si>
    <t>Srl manifatturiera/commerciale, fatturato annuo circa 4 milioni di euro, esercizio in utile.</t>
  </si>
  <si>
    <t>Capitale sociale 100.000 euro, ~25 dipendenti (costo personale ~840.000), parco immobilizzato</t>
  </si>
  <si>
    <t>consistente (fabbricato di proprieta', macchinari, attrezzature). Indebitamento bancario di</t>
  </si>
  <si>
    <t>medio termine per circa 460.000 euro (mutui), oltre a finanziamento soci di 100.000 euro.</t>
  </si>
  <si>
    <t>STRUTTURA DEL PIANO DEI CONTI</t>
  </si>
  <si>
    <t>Codifica gerarchica a 3 livelli, formato MMM.CCC.SSSS:</t>
  </si>
  <si>
    <t xml:space="preserve">  - Mastro    : 3 cifre  (es. 010 - Immobilizzazioni Immateriali)</t>
  </si>
  <si>
    <t xml:space="preserve">  - Conto     : 3 cifre  (es. 010.005 - Costi di impianto e ampliamento)</t>
  </si>
  <si>
    <t xml:space="preserve">  - Sottoconto: 4 cifre  (es. 010.005.0001 - Costi di costituzione)</t>
  </si>
  <si>
    <t>Le scritture in prima nota si imputano SEMPRE ai sottoconti (foglie operative).</t>
  </si>
  <si>
    <t>I sottoconti con codice da 9001 in su sono per convenzione 'fondi/rettifiche'.</t>
  </si>
  <si>
    <t>BILANCIO DI VERIFICA / PARTITA DOPPIA</t>
  </si>
  <si>
    <t>I saldi sono espressi in euro nelle colonne 'Saldo Dare' e 'Saldo Avere' del foglio principale.</t>
  </si>
  <si>
    <t>Per ogni sottoconto e' valorizzata UNA SOLA delle due colonne (l'altra mostra zero).</t>
  </si>
  <si>
    <t>I saldi di mastri e conti sono calcolati con SUMIFS (totali parziali).</t>
  </si>
  <si>
    <t>In fondo al foglio 'Piano dei Conti' c'e' la riga di TOTALE GENERALE con verifica automatica:</t>
  </si>
  <si>
    <t>se Dare = Avere allora la partita doppia quadra (cella verde 'QUADRATO').</t>
  </si>
  <si>
    <t>PRINCIPALI RISULTATI DELL'ESERCIZIO (vedi foglio 'Bilancio di Verifica')</t>
  </si>
  <si>
    <t xml:space="preserve">  A) Valore della produzione   .  4.028.000</t>
  </si>
  <si>
    <t xml:space="preserve">  B) Costi della produzione    .  3.422.100</t>
  </si>
  <si>
    <t xml:space="preserve">     Margine operativo (A-B)   .    605.900   (15,0% del valore produzione)</t>
  </si>
  <si>
    <t xml:space="preserve">  C) Saldo gestione finanziaria.    -50.200</t>
  </si>
  <si>
    <t xml:space="preserve">     Risultato ante imposte    .    555.700</t>
  </si>
  <si>
    <t xml:space="preserve">  20) Imposte sul reddito      .    167.000</t>
  </si>
  <si>
    <t xml:space="preserve">  21) UTILE NETTO ESERCIZIO    .    388.700   (9,7% del valore produzione)</t>
  </si>
  <si>
    <t xml:space="preserve">  Totale Attivo netto = Totale Passivo+PN .  2.847.800</t>
  </si>
  <si>
    <t xml:space="preserve">  Totale Dare bilancio di verifica        .  7.482.900</t>
  </si>
  <si>
    <t xml:space="preserve">  Totale Avere bilancio di verifica       .  7.482.900   QUADRATURA OK</t>
  </si>
  <si>
    <t>AVVERTENZE</t>
  </si>
  <si>
    <t>1) Tutti i numeri sono di FANTASIA. Costruiti per essere internamente coerenti e dare un</t>
  </si>
  <si>
    <t xml:space="preserve">   esempio di Srl in salute, NON rappresentano una azienda reale.</t>
  </si>
  <si>
    <t>2) L'utile dell'esercizio (388.700) e' il risultato della differenza Ricavi-Costi nel CE</t>
  </si>
  <si>
    <t xml:space="preserve">   e quindi NON e' valorizzato nel sottoconto 100.045.0001 (che resta a zero). Lo si</t>
  </si>
  <si>
    <t xml:space="preserve">   calcola implicitamente dalla quadratura. In sede di chiusura andra' rilevato.</t>
  </si>
  <si>
    <t>3) Aliquote fiscali usate (indicative): IRES 24%, IRAP 3,9% (la base imponibile IRAP non</t>
  </si>
  <si>
    <t xml:space="preserve">   coincide con l'utile civilistico, da cui un valore approssimato).</t>
  </si>
  <si>
    <t>4) L'utilizzo delle imposte anticipate (480.005.0004) ha saldo Avere perche' nell'esercizio</t>
  </si>
  <si>
    <t xml:space="preserve">   sono state RILEVATE nuove imposte anticipate (riducono il carico fiscale corrente).</t>
  </si>
  <si>
    <t>FOGLI DI QUESTO FILE</t>
  </si>
  <si>
    <t xml:space="preserve">  - 'Piano dei Conti'    : elenco completo POPOLATO con saldi (foglio principale)</t>
  </si>
  <si>
    <t xml:space="preserve">  - 'Bilancio Verifica'  : sintesi dei totali per mastro con quadratura</t>
  </si>
  <si>
    <t xml:space="preserve">  - 'SP CEE Valorizzato' : Stato Patrimoniale CEE compilato con i numeri</t>
  </si>
  <si>
    <t xml:space="preserve">  - 'CE CEE Valorizzato' : Conto Economico CEE compilato con i numeri</t>
  </si>
  <si>
    <t xml:space="preserve">  - 'Schema SP CEE'      : prospetto CEE con riferimenti al PdC (vuoto)</t>
  </si>
  <si>
    <t xml:space="preserve">  - 'Schema CE CEE'      : prospetto CEE con riferimenti al PdC (vuoto)</t>
  </si>
  <si>
    <t xml:space="preserve">  - 'Legenda'            : abbreviazioni e principi OIC</t>
  </si>
  <si>
    <t>Codice</t>
  </si>
  <si>
    <t>Livello</t>
  </si>
  <si>
    <t>Descrizione</t>
  </si>
  <si>
    <t>Sezione CEE</t>
  </si>
  <si>
    <t>Natura</t>
  </si>
  <si>
    <t>D/A</t>
  </si>
  <si>
    <t>Saldo Dare</t>
  </si>
  <si>
    <t>Saldo Avere</t>
  </si>
  <si>
    <t>Note</t>
  </si>
  <si>
    <t>010</t>
  </si>
  <si>
    <t>Mastro</t>
  </si>
  <si>
    <t>IMMOBILIZZAZIONI IMMATERIALI</t>
  </si>
  <si>
    <t>B.I</t>
  </si>
  <si>
    <t>Attivo Patrimoniale</t>
  </si>
  <si>
    <t>010.005</t>
  </si>
  <si>
    <t>Conto</t>
  </si>
  <si>
    <t>Costi di impianto e di ampliamento</t>
  </si>
  <si>
    <t>B.I.1</t>
  </si>
  <si>
    <t>010.005.0001</t>
  </si>
  <si>
    <t>Sottoconto</t>
  </si>
  <si>
    <t>Costi di costituzione</t>
  </si>
  <si>
    <t>D</t>
  </si>
  <si>
    <t>Amm.to max 5 anni - art. 2426 c.c.</t>
  </si>
  <si>
    <t>010.005.0002</t>
  </si>
  <si>
    <t>Costi di ampliamento</t>
  </si>
  <si>
    <t>010.005.9001</t>
  </si>
  <si>
    <t>F.do amm.to costi di impianto e amplto</t>
  </si>
  <si>
    <t>Rettifica (fondo)</t>
  </si>
  <si>
    <t>A</t>
  </si>
  <si>
    <t>Fondo rettificativo</t>
  </si>
  <si>
    <t>010.010</t>
  </si>
  <si>
    <t>Costi di sviluppo</t>
  </si>
  <si>
    <t>B.I.2</t>
  </si>
  <si>
    <t>010.010.0001</t>
  </si>
  <si>
    <t>Costi di sviluppo capitalizzati</t>
  </si>
  <si>
    <t>Solo se ricorrono condizioni OIC 24</t>
  </si>
  <si>
    <t>010.010.9001</t>
  </si>
  <si>
    <t>F.do amm.to costi di sviluppo</t>
  </si>
  <si>
    <t>010.015</t>
  </si>
  <si>
    <t>Diritti di brevetto industriale</t>
  </si>
  <si>
    <t>B.I.3</t>
  </si>
  <si>
    <t>010.015.0001</t>
  </si>
  <si>
    <t>Brevetti industriali</t>
  </si>
  <si>
    <t>010.015.0002</t>
  </si>
  <si>
    <t>Software applicativo di proprieta'</t>
  </si>
  <si>
    <t>010.015.0003</t>
  </si>
  <si>
    <t>Diritti d'autore</t>
  </si>
  <si>
    <t>010.015.9001</t>
  </si>
  <si>
    <t>F.do amm.to brevetti</t>
  </si>
  <si>
    <t>010.015.9002</t>
  </si>
  <si>
    <t>F.do amm.to software</t>
  </si>
  <si>
    <t>010.020</t>
  </si>
  <si>
    <t>Concessioni, licenze, marchi e simili</t>
  </si>
  <si>
    <t>B.I.4</t>
  </si>
  <si>
    <t>010.020.0001</t>
  </si>
  <si>
    <t>Marchi</t>
  </si>
  <si>
    <t>010.020.0002</t>
  </si>
  <si>
    <t>Licenze d'uso software (capitalizzate)</t>
  </si>
  <si>
    <t>010.020.0003</t>
  </si>
  <si>
    <t>Concessioni</t>
  </si>
  <si>
    <t>010.020.9001</t>
  </si>
  <si>
    <t>F.do amm.to marchi</t>
  </si>
  <si>
    <t>010.020.9002</t>
  </si>
  <si>
    <t>F.do amm.to licenze software</t>
  </si>
  <si>
    <t>010.020.9003</t>
  </si>
  <si>
    <t>F.do amm.to concessioni</t>
  </si>
  <si>
    <t>010.025</t>
  </si>
  <si>
    <t>Avviamento</t>
  </si>
  <si>
    <t>B.I.5</t>
  </si>
  <si>
    <t>010.025.0001</t>
  </si>
  <si>
    <t>Solo se acquisito a titolo oneroso</t>
  </si>
  <si>
    <t>010.025.9001</t>
  </si>
  <si>
    <t>F.do amm.to avviamento</t>
  </si>
  <si>
    <t>Vita utile, max 10 anni in via residuale</t>
  </si>
  <si>
    <t>010.030</t>
  </si>
  <si>
    <t>Immob. immateriali in corso e acconti</t>
  </si>
  <si>
    <t>B.I.6</t>
  </si>
  <si>
    <t>010.030.0001</t>
  </si>
  <si>
    <t>Immobilizzazioni immateriali in corso</t>
  </si>
  <si>
    <t>010.030.0002</t>
  </si>
  <si>
    <t>Acconti su immob. immateriali</t>
  </si>
  <si>
    <t>010.035</t>
  </si>
  <si>
    <t>Altre immobilizzazioni immateriali</t>
  </si>
  <si>
    <t>B.I.7</t>
  </si>
  <si>
    <t>010.035.0001</t>
  </si>
  <si>
    <t>Migliorie su beni di terzi</t>
  </si>
  <si>
    <t>Lavori su immobile in locazione</t>
  </si>
  <si>
    <t>010.035.0002</t>
  </si>
  <si>
    <t>Spese pluriennali diverse</t>
  </si>
  <si>
    <t>010.035.9001</t>
  </si>
  <si>
    <t>F.do amm.to migliorie su beni di terzi</t>
  </si>
  <si>
    <t>010.035.9002</t>
  </si>
  <si>
    <t>F.do amm.to altre immob. immateriali</t>
  </si>
  <si>
    <t>020</t>
  </si>
  <si>
    <t>IMMOBILIZZAZIONI MATERIALI</t>
  </si>
  <si>
    <t>B.II</t>
  </si>
  <si>
    <t>020.005</t>
  </si>
  <si>
    <t>Terreni e fabbricati</t>
  </si>
  <si>
    <t>B.II.1</t>
  </si>
  <si>
    <t>020.005.0001</t>
  </si>
  <si>
    <t>Terreni</t>
  </si>
  <si>
    <t>Non ammortizzabili - OIC 16</t>
  </si>
  <si>
    <t>020.005.0002</t>
  </si>
  <si>
    <t>Fabbricati industriali</t>
  </si>
  <si>
    <t>020.005.0003</t>
  </si>
  <si>
    <t>Fabbricati civili strumentali</t>
  </si>
  <si>
    <t>020.005.0004</t>
  </si>
  <si>
    <t>Costruzioni leggere</t>
  </si>
  <si>
    <t>020.005.9002</t>
  </si>
  <si>
    <t>F.do amm.to fabbricati industriali</t>
  </si>
  <si>
    <t>020.005.9003</t>
  </si>
  <si>
    <t>F.do amm.to fabbricati civili</t>
  </si>
  <si>
    <t>020.005.9004</t>
  </si>
  <si>
    <t>F.do amm.to costruzioni leggere</t>
  </si>
  <si>
    <t>020.010</t>
  </si>
  <si>
    <t>Impianti e macchinario</t>
  </si>
  <si>
    <t>B.II.2</t>
  </si>
  <si>
    <t>020.010.0001</t>
  </si>
  <si>
    <t>Impianti generici</t>
  </si>
  <si>
    <t>020.010.0002</t>
  </si>
  <si>
    <t>Impianti specifici</t>
  </si>
  <si>
    <t>020.010.0003</t>
  </si>
  <si>
    <t>Macchinari</t>
  </si>
  <si>
    <t>020.010.0004</t>
  </si>
  <si>
    <t>Impianti di telecomunicazione</t>
  </si>
  <si>
    <t>020.010.0005</t>
  </si>
  <si>
    <t>Impianti fotovoltaici</t>
  </si>
  <si>
    <t>020.010.9001</t>
  </si>
  <si>
    <t>F.do amm.to impianti generici</t>
  </si>
  <si>
    <t>020.010.9002</t>
  </si>
  <si>
    <t>F.do amm.to impianti specifici</t>
  </si>
  <si>
    <t>020.010.9003</t>
  </si>
  <si>
    <t>F.do amm.to macchinari</t>
  </si>
  <si>
    <t>020.010.9004</t>
  </si>
  <si>
    <t>F.do amm.to impianti telecomunicazione</t>
  </si>
  <si>
    <t>020.010.9005</t>
  </si>
  <si>
    <t>F.do amm.to impianti fotovoltaici</t>
  </si>
  <si>
    <t>020.015</t>
  </si>
  <si>
    <t>Attrezzature industriali e commerciali</t>
  </si>
  <si>
    <t>B.II.3</t>
  </si>
  <si>
    <t>020.015.0001</t>
  </si>
  <si>
    <t>Attrezzature industriali</t>
  </si>
  <si>
    <t>020.015.0002</t>
  </si>
  <si>
    <t>Attrezzature commerciali</t>
  </si>
  <si>
    <t>020.015.0003</t>
  </si>
  <si>
    <t>Attrezzatura varia minuta</t>
  </si>
  <si>
    <t>020.015.9001</t>
  </si>
  <si>
    <t>F.do amm.to attrezzature industriali</t>
  </si>
  <si>
    <t>020.015.9002</t>
  </si>
  <si>
    <t>F.do amm.to attrezzature commerciali</t>
  </si>
  <si>
    <t>020.015.9003</t>
  </si>
  <si>
    <t>F.do amm.to attrezzatura varia minuta</t>
  </si>
  <si>
    <t>020.020</t>
  </si>
  <si>
    <t>Altri beni</t>
  </si>
  <si>
    <t>B.II.4</t>
  </si>
  <si>
    <t>020.020.0001</t>
  </si>
  <si>
    <t>Mobili e arredi ufficio</t>
  </si>
  <si>
    <t>020.020.0002</t>
  </si>
  <si>
    <t>Macchine ufficio elettroniche</t>
  </si>
  <si>
    <t>020.020.0003</t>
  </si>
  <si>
    <t>Hardware (PC, server, stampanti)</t>
  </si>
  <si>
    <t>020.020.0004</t>
  </si>
  <si>
    <t>Autovetture</t>
  </si>
  <si>
    <t>Limiti deduc. art. 164 TUIR</t>
  </si>
  <si>
    <t>020.020.0005</t>
  </si>
  <si>
    <t>Autocarri e veicoli commerciali</t>
  </si>
  <si>
    <t>020.020.0006</t>
  </si>
  <si>
    <t>Telefoni cellulari aziendali</t>
  </si>
  <si>
    <t>Deduc. 80% - art. 102 TUIR</t>
  </si>
  <si>
    <t>020.020.0007</t>
  </si>
  <si>
    <t>Beni inferiori a 516,46 euro</t>
  </si>
  <si>
    <t>Deduc. integrale possibile</t>
  </si>
  <si>
    <t>020.020.9001</t>
  </si>
  <si>
    <t>F.do amm.to mobili e arredi</t>
  </si>
  <si>
    <t>020.020.9002</t>
  </si>
  <si>
    <t>F.do amm.to macchine ufficio</t>
  </si>
  <si>
    <t>020.020.9003</t>
  </si>
  <si>
    <t>F.do amm.to hardware</t>
  </si>
  <si>
    <t>020.020.9004</t>
  </si>
  <si>
    <t>F.do amm.to autovetture</t>
  </si>
  <si>
    <t>020.020.9005</t>
  </si>
  <si>
    <t>F.do amm.to autocarri</t>
  </si>
  <si>
    <t>020.020.9006</t>
  </si>
  <si>
    <t>F.do amm.to telefoni cellulari</t>
  </si>
  <si>
    <t>020.025</t>
  </si>
  <si>
    <t>Immob. materiali in corso e acconti</t>
  </si>
  <si>
    <t>B.II.5</t>
  </si>
  <si>
    <t>020.025.0001</t>
  </si>
  <si>
    <t>Immobilizzazioni materiali in corso</t>
  </si>
  <si>
    <t>020.025.0002</t>
  </si>
  <si>
    <t>Acconti su immob. materiali</t>
  </si>
  <si>
    <t>030</t>
  </si>
  <si>
    <t>IMMOBILIZZAZIONI FINANZIARIE</t>
  </si>
  <si>
    <t>B.III</t>
  </si>
  <si>
    <t>030.005</t>
  </si>
  <si>
    <t>Partecipazioni</t>
  </si>
  <si>
    <t>B.III.1</t>
  </si>
  <si>
    <t>030.005.0001</t>
  </si>
  <si>
    <t>Partecipazioni in imprese controllate</t>
  </si>
  <si>
    <t>B.III.1.a</t>
  </si>
  <si>
    <t>030.005.0002</t>
  </si>
  <si>
    <t>Partecipazioni in imprese collegate</t>
  </si>
  <si>
    <t>B.III.1.b</t>
  </si>
  <si>
    <t>030.005.0003</t>
  </si>
  <si>
    <t>Partecipazioni in imprese controllanti</t>
  </si>
  <si>
    <t>B.III.1.c</t>
  </si>
  <si>
    <t>030.005.0004</t>
  </si>
  <si>
    <t>Part. in imprese sotto controllo controllanti</t>
  </si>
  <si>
    <t>B.III.1.d-bis</t>
  </si>
  <si>
    <t>Introdotto da D.Lgs. 139/2015</t>
  </si>
  <si>
    <t>030.005.0005</t>
  </si>
  <si>
    <t>Partecipazioni in altre imprese</t>
  </si>
  <si>
    <t>B.III.1.d</t>
  </si>
  <si>
    <t>030.010</t>
  </si>
  <si>
    <t>Crediti finanziari immobilizzati</t>
  </si>
  <si>
    <t>B.III.2</t>
  </si>
  <si>
    <t>Esigibili oltre l'esercizio</t>
  </si>
  <si>
    <t>030.010.0001</t>
  </si>
  <si>
    <t>Crediti v/imprese controllate</t>
  </si>
  <si>
    <t>B.III.2.a</t>
  </si>
  <si>
    <t>030.010.0002</t>
  </si>
  <si>
    <t>Crediti v/imprese collegate</t>
  </si>
  <si>
    <t>B.III.2.b</t>
  </si>
  <si>
    <t>030.010.0003</t>
  </si>
  <si>
    <t>Crediti v/imprese controllanti</t>
  </si>
  <si>
    <t>B.III.2.c</t>
  </si>
  <si>
    <t>030.010.0004</t>
  </si>
  <si>
    <t>Crediti v/imprese sotto controllo controllanti</t>
  </si>
  <si>
    <t>B.III.2.d-bis</t>
  </si>
  <si>
    <t>030.010.0005</t>
  </si>
  <si>
    <t>Crediti v/altri</t>
  </si>
  <si>
    <t>B.III.2.d</t>
  </si>
  <si>
    <t>030.015</t>
  </si>
  <si>
    <t>Altri titoli</t>
  </si>
  <si>
    <t>B.III.3</t>
  </si>
  <si>
    <t>030.015.0001</t>
  </si>
  <si>
    <t>Altri titoli immobilizzati</t>
  </si>
  <si>
    <t>030.020</t>
  </si>
  <si>
    <t>Strumenti finanziari derivati attivi</t>
  </si>
  <si>
    <t>B.III.4</t>
  </si>
  <si>
    <t>030.020.0001</t>
  </si>
  <si>
    <t>Strumenti fin. derivati attivi immob.</t>
  </si>
  <si>
    <t>040</t>
  </si>
  <si>
    <t>RIMANENZE</t>
  </si>
  <si>
    <t>C.I</t>
  </si>
  <si>
    <t>040.005</t>
  </si>
  <si>
    <t>Materie prime, sussidiarie e di consumo</t>
  </si>
  <si>
    <t>C.I.1</t>
  </si>
  <si>
    <t>040.005.0001</t>
  </si>
  <si>
    <t>Rimanenze materie prime</t>
  </si>
  <si>
    <t>040.005.0002</t>
  </si>
  <si>
    <t>Rimanenze materie sussidiarie</t>
  </si>
  <si>
    <t>040.005.0003</t>
  </si>
  <si>
    <t>Rimanenze materiali di consumo</t>
  </si>
  <si>
    <t>040.010</t>
  </si>
  <si>
    <t>Prodotti in corso di lav. e semilavorati</t>
  </si>
  <si>
    <t>C.I.2</t>
  </si>
  <si>
    <t>040.010.0001</t>
  </si>
  <si>
    <t>Rimanenze prodotti in corso di lavoraz.</t>
  </si>
  <si>
    <t>040.010.0002</t>
  </si>
  <si>
    <t>Rimanenze semilavorati</t>
  </si>
  <si>
    <t>040.015</t>
  </si>
  <si>
    <t>Lavori in corso su ordinazione</t>
  </si>
  <si>
    <t>C.I.3</t>
  </si>
  <si>
    <t>Valutazione ex OIC 23</t>
  </si>
  <si>
    <t>040.015.0001</t>
  </si>
  <si>
    <t>040.020</t>
  </si>
  <si>
    <t>Prodotti finiti e merci</t>
  </si>
  <si>
    <t>C.I.4</t>
  </si>
  <si>
    <t>040.020.0001</t>
  </si>
  <si>
    <t>Rimanenze prodotti finiti</t>
  </si>
  <si>
    <t>040.020.0002</t>
  </si>
  <si>
    <t>Rimanenze merci</t>
  </si>
  <si>
    <t>040.025</t>
  </si>
  <si>
    <t>Acconti a fornitori per merci</t>
  </si>
  <si>
    <t>C.I.5</t>
  </si>
  <si>
    <t>040.025.0001</t>
  </si>
  <si>
    <t>Acconti a fornitori per merci/prodotti</t>
  </si>
  <si>
    <t>050</t>
  </si>
  <si>
    <t>CREDITI DELL'ATTIVO CIRCOLANTE</t>
  </si>
  <si>
    <t>C.II</t>
  </si>
  <si>
    <t>050.005</t>
  </si>
  <si>
    <t>Crediti verso clienti</t>
  </si>
  <si>
    <t>C.II.1</t>
  </si>
  <si>
    <t>050.005.0001</t>
  </si>
  <si>
    <t>Clienti Italia</t>
  </si>
  <si>
    <t>Sottoconto riepilogativo per anagrafica clienti</t>
  </si>
  <si>
    <t>050.005.0002</t>
  </si>
  <si>
    <t>Clienti UE</t>
  </si>
  <si>
    <t>050.005.0003</t>
  </si>
  <si>
    <t>Clienti Extra UE</t>
  </si>
  <si>
    <t>050.005.0004</t>
  </si>
  <si>
    <t>Effetti attivi in portafoglio</t>
  </si>
  <si>
    <t>050.005.0005</t>
  </si>
  <si>
    <t>Effetti all'incasso s.b.f.</t>
  </si>
  <si>
    <t>050.005.0006</t>
  </si>
  <si>
    <t>Fatture da emettere a clienti</t>
  </si>
  <si>
    <t>050.005.0007</t>
  </si>
  <si>
    <t>Note di credito da emettere</t>
  </si>
  <si>
    <t>050.005.0008</t>
  </si>
  <si>
    <t>Crediti commerciali v/clienti diversi</t>
  </si>
  <si>
    <t>050.005.9001</t>
  </si>
  <si>
    <t>F.do svalutazione crediti commerciali</t>
  </si>
  <si>
    <t>OIC 15 - tassato/non tassato gestito in dichiarazione</t>
  </si>
  <si>
    <t>050.010</t>
  </si>
  <si>
    <t>Crediti verso imprese controllate</t>
  </si>
  <si>
    <t>C.II.2</t>
  </si>
  <si>
    <t>Esigibili entro l'esercizio</t>
  </si>
  <si>
    <t>050.010.0001</t>
  </si>
  <si>
    <t>Crediti commerciali v/controllate</t>
  </si>
  <si>
    <t>050.010.0002</t>
  </si>
  <si>
    <t>Crediti finanziari v/controllate</t>
  </si>
  <si>
    <t>050.015</t>
  </si>
  <si>
    <t>Crediti verso imprese collegate</t>
  </si>
  <si>
    <t>C.II.3</t>
  </si>
  <si>
    <t>050.015.0001</t>
  </si>
  <si>
    <t>Crediti v/collegate</t>
  </si>
  <si>
    <t>050.020</t>
  </si>
  <si>
    <t>Crediti verso imprese controllanti</t>
  </si>
  <si>
    <t>C.II.4</t>
  </si>
  <si>
    <t>050.020.0001</t>
  </si>
  <si>
    <t>Crediti v/controllanti</t>
  </si>
  <si>
    <t>050.025</t>
  </si>
  <si>
    <t>C.II.5</t>
  </si>
  <si>
    <t>050.025.0001</t>
  </si>
  <si>
    <t>050.030</t>
  </si>
  <si>
    <t>Crediti tributari</t>
  </si>
  <si>
    <t>C.II.5-bis</t>
  </si>
  <si>
    <t>050.030.0001</t>
  </si>
  <si>
    <t>Erario c/IVA a credito</t>
  </si>
  <si>
    <t>050.030.0002</t>
  </si>
  <si>
    <t>Erario c/acconti IRES</t>
  </si>
  <si>
    <t>050.030.0003</t>
  </si>
  <si>
    <t>Erario c/acconti IRAP</t>
  </si>
  <si>
    <t>050.030.0004</t>
  </si>
  <si>
    <t>Crediti per ritenute subite</t>
  </si>
  <si>
    <t>050.030.0005</t>
  </si>
  <si>
    <t>Crediti d'imposta agevolativi</t>
  </si>
  <si>
    <t>Es. credito ricerca, beni 4.0</t>
  </si>
  <si>
    <t>050.030.0006</t>
  </si>
  <si>
    <t>IVA chiesta a rimborso</t>
  </si>
  <si>
    <t>050.035</t>
  </si>
  <si>
    <t>Imposte anticipate</t>
  </si>
  <si>
    <t>C.II.5-ter</t>
  </si>
  <si>
    <t>050.035.0001</t>
  </si>
  <si>
    <t>Crediti per imposte anticipate</t>
  </si>
  <si>
    <t>OIC 25</t>
  </si>
  <si>
    <t>050.040</t>
  </si>
  <si>
    <t>Crediti verso altri</t>
  </si>
  <si>
    <t>C.II.5-quater</t>
  </si>
  <si>
    <t>050.040.0001</t>
  </si>
  <si>
    <t>Crediti v/dipendenti per anticipi</t>
  </si>
  <si>
    <t>050.040.0002</t>
  </si>
  <si>
    <t>Crediti v/INPS</t>
  </si>
  <si>
    <t>050.040.0003</t>
  </si>
  <si>
    <t>Crediti v/INAIL</t>
  </si>
  <si>
    <t>050.040.0004</t>
  </si>
  <si>
    <t>Anticipi a fornitori per servizi</t>
  </si>
  <si>
    <t>050.040.0005</t>
  </si>
  <si>
    <t>Depositi cauzionali attivi</t>
  </si>
  <si>
    <t>050.040.0006</t>
  </si>
  <si>
    <t>Crediti diversi</t>
  </si>
  <si>
    <t>060</t>
  </si>
  <si>
    <t>ATTIVITA' FINANZIARIE NON IMMOBILIZZATE</t>
  </si>
  <si>
    <t>C.III</t>
  </si>
  <si>
    <t>060.005</t>
  </si>
  <si>
    <t>Partecipazioni non immobilizzate</t>
  </si>
  <si>
    <t>C.III.1-3</t>
  </si>
  <si>
    <t>060.005.0001</t>
  </si>
  <si>
    <t>Partecipazioni in controllate (non imm.)</t>
  </si>
  <si>
    <t>C.III.1</t>
  </si>
  <si>
    <t>060.005.0002</t>
  </si>
  <si>
    <t>Partecipazioni in collegate (non imm.)</t>
  </si>
  <si>
    <t>C.III.2</t>
  </si>
  <si>
    <t>060.005.0003</t>
  </si>
  <si>
    <t>Partecipazioni in controllanti (non imm.)</t>
  </si>
  <si>
    <t>C.III.3</t>
  </si>
  <si>
    <t>060.005.0004</t>
  </si>
  <si>
    <t>C.III.3-bis</t>
  </si>
  <si>
    <t>060.005.0005</t>
  </si>
  <si>
    <t>Altre partecipazioni</t>
  </si>
  <si>
    <t>C.III.4</t>
  </si>
  <si>
    <t>060.010</t>
  </si>
  <si>
    <t>C.III.5</t>
  </si>
  <si>
    <t>060.010.0001</t>
  </si>
  <si>
    <t>Strumenti fin. derivati attivi non imm.</t>
  </si>
  <si>
    <t>060.015</t>
  </si>
  <si>
    <t>C.III.6</t>
  </si>
  <si>
    <t>060.015.0001</t>
  </si>
  <si>
    <t>BOT, BTP, CCT</t>
  </si>
  <si>
    <t>060.015.0002</t>
  </si>
  <si>
    <t>Altri titoli non immobilizzati</t>
  </si>
  <si>
    <t>070</t>
  </si>
  <si>
    <t>DISPONIBILITA' LIQUIDE</t>
  </si>
  <si>
    <t>C.IV</t>
  </si>
  <si>
    <t>070.005</t>
  </si>
  <si>
    <t>Depositi bancari e postali</t>
  </si>
  <si>
    <t>C.IV.1</t>
  </si>
  <si>
    <t>070.005.0001</t>
  </si>
  <si>
    <t>Banca c/c n. 1</t>
  </si>
  <si>
    <t>070.005.0002</t>
  </si>
  <si>
    <t>Banca c/c n. 2</t>
  </si>
  <si>
    <t>070.005.0003</t>
  </si>
  <si>
    <t>Banca c/c n. 3</t>
  </si>
  <si>
    <t>070.005.0004</t>
  </si>
  <si>
    <t>Conto corrente postale</t>
  </si>
  <si>
    <t>070.005.0005</t>
  </si>
  <si>
    <t>Carte prepagate aziendali</t>
  </si>
  <si>
    <t>070.010</t>
  </si>
  <si>
    <t>Assegni</t>
  </si>
  <si>
    <t>C.IV.2</t>
  </si>
  <si>
    <t>070.010.0001</t>
  </si>
  <si>
    <t>Assegni in cassa</t>
  </si>
  <si>
    <t>070.015</t>
  </si>
  <si>
    <t>Denaro e valori in cassa</t>
  </si>
  <si>
    <t>C.IV.3</t>
  </si>
  <si>
    <t>070.015.0001</t>
  </si>
  <si>
    <t>Cassa contanti</t>
  </si>
  <si>
    <t>Limite L. 197/2022: 5.000 euro</t>
  </si>
  <si>
    <t>070.015.0002</t>
  </si>
  <si>
    <t>Valori bollati e francobolli</t>
  </si>
  <si>
    <t>070.015.0003</t>
  </si>
  <si>
    <t>Buoni pasto in giacenza</t>
  </si>
  <si>
    <t>080</t>
  </si>
  <si>
    <t>RATEI E RISCONTI ATTIVI</t>
  </si>
  <si>
    <t>080.005</t>
  </si>
  <si>
    <t>Ratei attivi</t>
  </si>
  <si>
    <t>080.005.0001</t>
  </si>
  <si>
    <t>OIC 18</t>
  </si>
  <si>
    <t>080.010</t>
  </si>
  <si>
    <t>Risconti attivi</t>
  </si>
  <si>
    <t>080.010.0001</t>
  </si>
  <si>
    <t>080.010.0002</t>
  </si>
  <si>
    <t>Disaggio su prestiti</t>
  </si>
  <si>
    <t>Aboliti per nuovi prestiti dal 2016 - OIC 19</t>
  </si>
  <si>
    <t>100</t>
  </si>
  <si>
    <t>PATRIMONIO NETTO</t>
  </si>
  <si>
    <t>Patrimonio Netto</t>
  </si>
  <si>
    <t>100.005</t>
  </si>
  <si>
    <t>Capitale sociale</t>
  </si>
  <si>
    <t>A.I</t>
  </si>
  <si>
    <t>100.005.0001</t>
  </si>
  <si>
    <t>Min. 10.000 euro per Srl ordinaria; 1 euro per Srl semplificata</t>
  </si>
  <si>
    <t>100.010</t>
  </si>
  <si>
    <t>Riserva da sovrapprezzo</t>
  </si>
  <si>
    <t>A.II</t>
  </si>
  <si>
    <t>100.010.0001</t>
  </si>
  <si>
    <t>Riserva sovrapprezzo quote</t>
  </si>
  <si>
    <t>100.015</t>
  </si>
  <si>
    <t>Riserve di rivalutazione</t>
  </si>
  <si>
    <t>A.III</t>
  </si>
  <si>
    <t>100.015.0001</t>
  </si>
  <si>
    <t>Riserve di rivalutazione (legge spec.)</t>
  </si>
  <si>
    <t>100.020</t>
  </si>
  <si>
    <t>Riserva legale</t>
  </si>
  <si>
    <t>A.IV</t>
  </si>
  <si>
    <t>Art. 2430 c.c. - 5% utile fino a 1/5 capitale</t>
  </si>
  <si>
    <t>100.020.0001</t>
  </si>
  <si>
    <t>100.025</t>
  </si>
  <si>
    <t>Riserve statutarie</t>
  </si>
  <si>
    <t>A.V</t>
  </si>
  <si>
    <t>100.025.0001</t>
  </si>
  <si>
    <t>100.030</t>
  </si>
  <si>
    <t>Altre riserve</t>
  </si>
  <si>
    <t>A.VI</t>
  </si>
  <si>
    <t>100.030.0001</t>
  </si>
  <si>
    <t>Riserva straordinaria (facoltativa)</t>
  </si>
  <si>
    <t>100.030.0002</t>
  </si>
  <si>
    <t>Versamenti soci in c/capitale</t>
  </si>
  <si>
    <t>Non rimborsabili</t>
  </si>
  <si>
    <t>100.030.0003</t>
  </si>
  <si>
    <t>Versamenti soci a copertura perdite</t>
  </si>
  <si>
    <t>100.030.0004</t>
  </si>
  <si>
    <t>Riserva FTA (First Time Adoption)</t>
  </si>
  <si>
    <t>100.030.0005</t>
  </si>
  <si>
    <t>Altre riserve diverse</t>
  </si>
  <si>
    <t>100.035</t>
  </si>
  <si>
    <t>Riserva per operazioni di copertura</t>
  </si>
  <si>
    <t>A.VII</t>
  </si>
  <si>
    <t>Introdotta da D.Lgs. 139/2015</t>
  </si>
  <si>
    <t>100.035.0001</t>
  </si>
  <si>
    <t>Riserva op. copertura flussi finanziari</t>
  </si>
  <si>
    <t>100.040</t>
  </si>
  <si>
    <t>Utili (perdite) portati a nuovo</t>
  </si>
  <si>
    <t>A.VIII</t>
  </si>
  <si>
    <t>100.040.0001</t>
  </si>
  <si>
    <t>Utili portati a nuovo</t>
  </si>
  <si>
    <t>100.040.0002</t>
  </si>
  <si>
    <t>Perdite portate a nuovo</t>
  </si>
  <si>
    <t>100.045</t>
  </si>
  <si>
    <t>Utile (perdita) dell'esercizio</t>
  </si>
  <si>
    <t>A.IX</t>
  </si>
  <si>
    <t>100.045.0001</t>
  </si>
  <si>
    <t>Utile dell'esercizio</t>
  </si>
  <si>
    <t>100.045.0002</t>
  </si>
  <si>
    <t>Perdita dell'esercizio</t>
  </si>
  <si>
    <t>100.050</t>
  </si>
  <si>
    <t>Riserva negativa azioni proprie</t>
  </si>
  <si>
    <t>A.X</t>
  </si>
  <si>
    <t>100.050.0001</t>
  </si>
  <si>
    <t>Riserva negativa per azioni proprie</t>
  </si>
  <si>
    <t>In Srl: quote proprie</t>
  </si>
  <si>
    <t>110</t>
  </si>
  <si>
    <t>FONDI PER RISCHI E ONERI</t>
  </si>
  <si>
    <t>B</t>
  </si>
  <si>
    <t>Passivo Patrimoniale</t>
  </si>
  <si>
    <t>110.005</t>
  </si>
  <si>
    <t>Fondi trattamento di quiescenza</t>
  </si>
  <si>
    <t>B.1</t>
  </si>
  <si>
    <t>110.005.0001</t>
  </si>
  <si>
    <t>Fondo trattamento di quiescenza</t>
  </si>
  <si>
    <t>110.010</t>
  </si>
  <si>
    <t>Fondi imposte differite</t>
  </si>
  <si>
    <t>B.2</t>
  </si>
  <si>
    <t>110.010.0001</t>
  </si>
  <si>
    <t>Fondo imposte differite</t>
  </si>
  <si>
    <t>110.015</t>
  </si>
  <si>
    <t>Strumenti finanziari derivati passivi</t>
  </si>
  <si>
    <t>B.3</t>
  </si>
  <si>
    <t>110.015.0001</t>
  </si>
  <si>
    <t>Strumenti fin. derivati passivi</t>
  </si>
  <si>
    <t>110.020</t>
  </si>
  <si>
    <t>Altri fondi</t>
  </si>
  <si>
    <t>B.4</t>
  </si>
  <si>
    <t>110.020.0001</t>
  </si>
  <si>
    <t>Fondo rischi su crediti</t>
  </si>
  <si>
    <t>110.020.0002</t>
  </si>
  <si>
    <t>Fondo manutenzioni programmate</t>
  </si>
  <si>
    <t>110.020.0003</t>
  </si>
  <si>
    <t>Fondo garanzia prodotti</t>
  </si>
  <si>
    <t>110.020.0004</t>
  </si>
  <si>
    <t>Fondo cause legali in corso</t>
  </si>
  <si>
    <t>110.020.0005</t>
  </si>
  <si>
    <t>Altri fondi rischi e oneri</t>
  </si>
  <si>
    <t>120</t>
  </si>
  <si>
    <t>TRATTAMENTO DI FINE RAPPORTO</t>
  </si>
  <si>
    <t>C</t>
  </si>
  <si>
    <t>120.005</t>
  </si>
  <si>
    <t>TFR lavoro subordinato</t>
  </si>
  <si>
    <t>120.005.0001</t>
  </si>
  <si>
    <t>Fondo TFR</t>
  </si>
  <si>
    <t>OIC 31</t>
  </si>
  <si>
    <t>130</t>
  </si>
  <si>
    <t>DEBITI</t>
  </si>
  <si>
    <t>130.005</t>
  </si>
  <si>
    <t>Obbligazioni</t>
  </si>
  <si>
    <t>D.1</t>
  </si>
  <si>
    <t>130.005.0001</t>
  </si>
  <si>
    <t>Prestiti obbligazionari</t>
  </si>
  <si>
    <t>130.005.0002</t>
  </si>
  <si>
    <t>Obbligazioni convertibili</t>
  </si>
  <si>
    <t>D.2</t>
  </si>
  <si>
    <t>130.010</t>
  </si>
  <si>
    <t>Debiti verso soci per finanziamenti</t>
  </si>
  <si>
    <t>D.3</t>
  </si>
  <si>
    <t>130.010.0001</t>
  </si>
  <si>
    <t>Finanziamento soci infruttifero</t>
  </si>
  <si>
    <t>Postergazione art. 2467 c.c.</t>
  </si>
  <si>
    <t>130.010.0002</t>
  </si>
  <si>
    <t>Finanziamento soci fruttifero</t>
  </si>
  <si>
    <t>130.015</t>
  </si>
  <si>
    <t>Debiti verso banche</t>
  </si>
  <si>
    <t>D.4</t>
  </si>
  <si>
    <t>130.015.0001</t>
  </si>
  <si>
    <t>Banca c/c passivo n. 1</t>
  </si>
  <si>
    <t>130.015.0002</t>
  </si>
  <si>
    <t>Banca c/c passivo n. 2</t>
  </si>
  <si>
    <t>130.015.0003</t>
  </si>
  <si>
    <t>Mutui passivi (entro 12 mesi)</t>
  </si>
  <si>
    <t>130.015.0004</t>
  </si>
  <si>
    <t>Mutui passivi (oltre 12 mesi)</t>
  </si>
  <si>
    <t>130.015.0005</t>
  </si>
  <si>
    <t>Finanziamenti chirografari</t>
  </si>
  <si>
    <t>130.015.0006</t>
  </si>
  <si>
    <t>Anticipi s.b.f.</t>
  </si>
  <si>
    <t>130.015.0007</t>
  </si>
  <si>
    <t>Anticipi su fatture</t>
  </si>
  <si>
    <t>130.020</t>
  </si>
  <si>
    <t>Debiti verso altri finanziatori</t>
  </si>
  <si>
    <t>D.5</t>
  </si>
  <si>
    <t>130.020.0001</t>
  </si>
  <si>
    <t>Debiti v/altri finanziatori</t>
  </si>
  <si>
    <t>130.020.0002</t>
  </si>
  <si>
    <t>Debiti v/societa' di leasing</t>
  </si>
  <si>
    <t>130.020.0003</t>
  </si>
  <si>
    <t>Debiti v/societa' di factoring</t>
  </si>
  <si>
    <t>130.025</t>
  </si>
  <si>
    <t>Acconti</t>
  </si>
  <si>
    <t>D.6</t>
  </si>
  <si>
    <t>130.025.0001</t>
  </si>
  <si>
    <t>Clienti c/anticipi (acconti ricevuti)</t>
  </si>
  <si>
    <t>130.030</t>
  </si>
  <si>
    <t>Debiti verso fornitori</t>
  </si>
  <si>
    <t>D.7</t>
  </si>
  <si>
    <t>130.030.0001</t>
  </si>
  <si>
    <t>Fornitori Italia</t>
  </si>
  <si>
    <t>130.030.0002</t>
  </si>
  <si>
    <t>Fornitori UE</t>
  </si>
  <si>
    <t>130.030.0003</t>
  </si>
  <si>
    <t>Fornitori Extra UE</t>
  </si>
  <si>
    <t>130.030.0004</t>
  </si>
  <si>
    <t>Fatture da ricevere</t>
  </si>
  <si>
    <t>130.030.0005</t>
  </si>
  <si>
    <t>Note di credito da ricevere</t>
  </si>
  <si>
    <t>130.030.0006</t>
  </si>
  <si>
    <t>Effetti passivi</t>
  </si>
  <si>
    <t>130.035</t>
  </si>
  <si>
    <t>Debiti rappresentati da titoli credito</t>
  </si>
  <si>
    <t>D.8</t>
  </si>
  <si>
    <t>130.035.0001</t>
  </si>
  <si>
    <t>Debiti per cambiali emesse</t>
  </si>
  <si>
    <t>130.040</t>
  </si>
  <si>
    <t>Debiti verso imprese controllate</t>
  </si>
  <si>
    <t>D.9</t>
  </si>
  <si>
    <t>130.040.0001</t>
  </si>
  <si>
    <t>Debiti commerciali v/controllate</t>
  </si>
  <si>
    <t>130.040.0002</t>
  </si>
  <si>
    <t>Debiti finanziari v/controllate</t>
  </si>
  <si>
    <t>130.045</t>
  </si>
  <si>
    <t>Debiti verso imprese collegate</t>
  </si>
  <si>
    <t>D.10</t>
  </si>
  <si>
    <t>130.045.0001</t>
  </si>
  <si>
    <t>Debiti v/collegate</t>
  </si>
  <si>
    <t>130.050</t>
  </si>
  <si>
    <t>Debiti verso imprese controllanti</t>
  </si>
  <si>
    <t>D.11</t>
  </si>
  <si>
    <t>130.050.0001</t>
  </si>
  <si>
    <t>Debiti v/controllanti</t>
  </si>
  <si>
    <t>130.055</t>
  </si>
  <si>
    <t>Debiti v/imprese sotto controllo controllanti</t>
  </si>
  <si>
    <t>D.11-bis</t>
  </si>
  <si>
    <t>130.055.0001</t>
  </si>
  <si>
    <t>130.060</t>
  </si>
  <si>
    <t>Debiti tributari</t>
  </si>
  <si>
    <t>D.12</t>
  </si>
  <si>
    <t>130.060.0001</t>
  </si>
  <si>
    <t>Erario c/IVA a debito</t>
  </si>
  <si>
    <t>130.060.0002</t>
  </si>
  <si>
    <t>Erario c/IRES</t>
  </si>
  <si>
    <t>130.060.0003</t>
  </si>
  <si>
    <t>Erario c/IRAP</t>
  </si>
  <si>
    <t>130.060.0004</t>
  </si>
  <si>
    <t>Erario c/ritenute lavoro dipendente</t>
  </si>
  <si>
    <t>130.060.0005</t>
  </si>
  <si>
    <t>Erario c/ritenute lavoro autonomo</t>
  </si>
  <si>
    <t>130.060.0006</t>
  </si>
  <si>
    <t>Erario c/imposta sostitutiva TFR</t>
  </si>
  <si>
    <t>130.060.0007</t>
  </si>
  <si>
    <t>Erario c/altre imposte</t>
  </si>
  <si>
    <t>130.065</t>
  </si>
  <si>
    <t>Debiti v/istituti previdenziali</t>
  </si>
  <si>
    <t>D.13</t>
  </si>
  <si>
    <t>130.065.0001</t>
  </si>
  <si>
    <t>INPS dipendenti</t>
  </si>
  <si>
    <t>130.065.0002</t>
  </si>
  <si>
    <t>INPS Gestione Separata</t>
  </si>
  <si>
    <t>130.065.0003</t>
  </si>
  <si>
    <t>INAIL</t>
  </si>
  <si>
    <t>130.065.0004</t>
  </si>
  <si>
    <t>Fondi pensione integrativi</t>
  </si>
  <si>
    <t>130.065.0005</t>
  </si>
  <si>
    <t>Casse previdenziali professionisti</t>
  </si>
  <si>
    <t>130.070</t>
  </si>
  <si>
    <t>Altri debiti</t>
  </si>
  <si>
    <t>D.14</t>
  </si>
  <si>
    <t>130.070.0001</t>
  </si>
  <si>
    <t>Debiti v/dipendenti per retribuzioni</t>
  </si>
  <si>
    <t>130.070.0002</t>
  </si>
  <si>
    <t>Debiti v/dipendenti per ferie maturate</t>
  </si>
  <si>
    <t>130.070.0003</t>
  </si>
  <si>
    <t>Debiti v/amministratori per compensi</t>
  </si>
  <si>
    <t>130.070.0004</t>
  </si>
  <si>
    <t>Debiti v/sindaci/revisore</t>
  </si>
  <si>
    <t>130.070.0005</t>
  </si>
  <si>
    <t>Cauzioni passive ricevute</t>
  </si>
  <si>
    <t>130.070.0006</t>
  </si>
  <si>
    <t>Debiti diversi</t>
  </si>
  <si>
    <t>180</t>
  </si>
  <si>
    <t>RATEI E RISCONTI PASSIVI</t>
  </si>
  <si>
    <t>E</t>
  </si>
  <si>
    <t>180.005</t>
  </si>
  <si>
    <t>Ratei passivi</t>
  </si>
  <si>
    <t>180.005.0001</t>
  </si>
  <si>
    <t>180.010</t>
  </si>
  <si>
    <t>Risconti passivi</t>
  </si>
  <si>
    <t>180.010.0001</t>
  </si>
  <si>
    <t>180.010.0002</t>
  </si>
  <si>
    <t>Aggio su prestiti</t>
  </si>
  <si>
    <t>300</t>
  </si>
  <si>
    <t>VALORE DELLA PRODUZIONE</t>
  </si>
  <si>
    <t>Ricavo (CE)</t>
  </si>
  <si>
    <t>300.005</t>
  </si>
  <si>
    <t>Ricavi delle vendite e prestazioni</t>
  </si>
  <si>
    <t>A.1</t>
  </si>
  <si>
    <t>300.005.0001</t>
  </si>
  <si>
    <t>Ricavi vendita prodotti Italia</t>
  </si>
  <si>
    <t>300.005.0002</t>
  </si>
  <si>
    <t>Ricavi vendita prodotti UE</t>
  </si>
  <si>
    <t>300.005.0003</t>
  </si>
  <si>
    <t>Ricavi vendita prodotti Extra UE</t>
  </si>
  <si>
    <t>300.005.0004</t>
  </si>
  <si>
    <t>Ricavi vendita merci</t>
  </si>
  <si>
    <t>300.005.0005</t>
  </si>
  <si>
    <t>Ricavi prestazioni di servizi Italia</t>
  </si>
  <si>
    <t>300.005.0006</t>
  </si>
  <si>
    <t>Ricavi prestazioni di servizi estero</t>
  </si>
  <si>
    <t>300.005.0007</t>
  </si>
  <si>
    <t>Resi e abbuoni su vendite</t>
  </si>
  <si>
    <t>In rettifica - Saldo Dare</t>
  </si>
  <si>
    <t>300.005.0008</t>
  </si>
  <si>
    <t>Sconti e abbuoni commerciali passivi</t>
  </si>
  <si>
    <t>300.010</t>
  </si>
  <si>
    <t>Variazioni rimanenze prod./semi/in corso</t>
  </si>
  <si>
    <t>A.2</t>
  </si>
  <si>
    <t>Sezione bivalente</t>
  </si>
  <si>
    <t>300.010.0001</t>
  </si>
  <si>
    <t>Variazione rim. prodotti in corso</t>
  </si>
  <si>
    <t>300.010.0002</t>
  </si>
  <si>
    <t>Variazione rim. semilavorati</t>
  </si>
  <si>
    <t>300.010.0003</t>
  </si>
  <si>
    <t>Variazione rim. prodotti finiti</t>
  </si>
  <si>
    <t>300.015</t>
  </si>
  <si>
    <t>Variazione lavori in corso su ordinaz.</t>
  </si>
  <si>
    <t>A.3</t>
  </si>
  <si>
    <t>300.015.0001</t>
  </si>
  <si>
    <t>300.020</t>
  </si>
  <si>
    <t>Incrementi immob. per lavori interni</t>
  </si>
  <si>
    <t>A.4</t>
  </si>
  <si>
    <t>300.020.0001</t>
  </si>
  <si>
    <t>Costi capitalizzati immob. immateriali</t>
  </si>
  <si>
    <t>300.020.0002</t>
  </si>
  <si>
    <t>Costi capitalizzati immob. materiali</t>
  </si>
  <si>
    <t>300.025</t>
  </si>
  <si>
    <t>Altri ricavi e proventi</t>
  </si>
  <si>
    <t>A.5</t>
  </si>
  <si>
    <t>300.025.0001</t>
  </si>
  <si>
    <t>Plusvalenze ordinarie alienazione cespiti</t>
  </si>
  <si>
    <t>300.025.0002</t>
  </si>
  <si>
    <t>Sopravvenienze attive ordinarie</t>
  </si>
  <si>
    <t>300.025.0003</t>
  </si>
  <si>
    <t>Contributi in conto esercizio</t>
  </si>
  <si>
    <t>A.5.a</t>
  </si>
  <si>
    <t>Voce specifica nel CE</t>
  </si>
  <si>
    <t>300.025.0004</t>
  </si>
  <si>
    <t>Contributi in conto capitale (quota)</t>
  </si>
  <si>
    <t>Tecnica risconto - OIC 16</t>
  </si>
  <si>
    <t>300.025.0005</t>
  </si>
  <si>
    <t>Affitti attivi</t>
  </si>
  <si>
    <t>300.025.0006</t>
  </si>
  <si>
    <t>Rimborsi spese</t>
  </si>
  <si>
    <t>300.025.0007</t>
  </si>
  <si>
    <t>Recuperi e rimborsi diversi</t>
  </si>
  <si>
    <t>300.025.0008</t>
  </si>
  <si>
    <t>Altri ricavi e proventi diversi</t>
  </si>
  <si>
    <t>200</t>
  </si>
  <si>
    <t>COSTI DELLA PRODUZIONE</t>
  </si>
  <si>
    <t>Costo (CE)</t>
  </si>
  <si>
    <t>200.005</t>
  </si>
  <si>
    <t>Costi materie prime, suss., consumo, merci</t>
  </si>
  <si>
    <t>B.6</t>
  </si>
  <si>
    <t>200.005.0001</t>
  </si>
  <si>
    <t>Acquisti materie prime</t>
  </si>
  <si>
    <t>200.005.0002</t>
  </si>
  <si>
    <t>Acquisti materie sussidiarie</t>
  </si>
  <si>
    <t>200.005.0003</t>
  </si>
  <si>
    <t>Acquisti materiali di consumo</t>
  </si>
  <si>
    <t>200.005.0004</t>
  </si>
  <si>
    <t>Acquisti merci</t>
  </si>
  <si>
    <t>200.005.0005</t>
  </si>
  <si>
    <t>Acquisti carburanti e lubrificanti</t>
  </si>
  <si>
    <t>200.005.0006</t>
  </si>
  <si>
    <t>Acquisti cancelleria e stampati</t>
  </si>
  <si>
    <t>200.005.0007</t>
  </si>
  <si>
    <t>Acquisti minuteria, materiali consumo IT</t>
  </si>
  <si>
    <t>200.005.0008</t>
  </si>
  <si>
    <t>Resi su acquisti</t>
  </si>
  <si>
    <t>200.005.0009</t>
  </si>
  <si>
    <t>Sconti e abbuoni commerciali attivi</t>
  </si>
  <si>
    <t>200.010</t>
  </si>
  <si>
    <t>Costi per servizi</t>
  </si>
  <si>
    <t>B.7</t>
  </si>
  <si>
    <t>200.010.0001</t>
  </si>
  <si>
    <t>Energia elettrica</t>
  </si>
  <si>
    <t>200.010.0002</t>
  </si>
  <si>
    <t>Gas e riscaldamento</t>
  </si>
  <si>
    <t>200.010.0003</t>
  </si>
  <si>
    <t>Acqua</t>
  </si>
  <si>
    <t>200.010.0004</t>
  </si>
  <si>
    <t>Telefoniche fisse</t>
  </si>
  <si>
    <t>200.010.0005</t>
  </si>
  <si>
    <t>Telefoniche mobili</t>
  </si>
  <si>
    <t>200.010.0006</t>
  </si>
  <si>
    <t>Internet e connettivita'</t>
  </si>
  <si>
    <t>200.010.0007</t>
  </si>
  <si>
    <t>Servizi cloud e SaaS</t>
  </si>
  <si>
    <t>200.010.0008</t>
  </si>
  <si>
    <t>Manutenzioni e riparazioni</t>
  </si>
  <si>
    <t>Limite 5% costi beni amm.li - art. 102 c.6 TUIR</t>
  </si>
  <si>
    <t>200.010.0009</t>
  </si>
  <si>
    <t>Trasporti su acquisti</t>
  </si>
  <si>
    <t>200.010.0010</t>
  </si>
  <si>
    <t>Trasporti su vendite</t>
  </si>
  <si>
    <t>200.010.0011</t>
  </si>
  <si>
    <t>Spese postali e di spedizione</t>
  </si>
  <si>
    <t>200.010.0012</t>
  </si>
  <si>
    <t>Lavorazioni esterne</t>
  </si>
  <si>
    <t>200.010.0013</t>
  </si>
  <si>
    <t>Consulenze tecniche</t>
  </si>
  <si>
    <t>200.010.0014</t>
  </si>
  <si>
    <t>Consulenze amministrative</t>
  </si>
  <si>
    <t>200.010.0015</t>
  </si>
  <si>
    <t>Consulenze legali</t>
  </si>
  <si>
    <t>200.010.0016</t>
  </si>
  <si>
    <t>Consulenze fiscali</t>
  </si>
  <si>
    <t>200.010.0017</t>
  </si>
  <si>
    <t>Consulenze del lavoro</t>
  </si>
  <si>
    <t>200.010.0018</t>
  </si>
  <si>
    <t>Compensi sindaci/revisore</t>
  </si>
  <si>
    <t>200.010.0019</t>
  </si>
  <si>
    <t>Compensi amministratori</t>
  </si>
  <si>
    <t>Deduc. cassa - art. 95 TUIR</t>
  </si>
  <si>
    <t>200.010.0020</t>
  </si>
  <si>
    <t>Pubblicita' e marketing</t>
  </si>
  <si>
    <t>200.010.0021</t>
  </si>
  <si>
    <t>Provvigioni passive</t>
  </si>
  <si>
    <t>200.010.0022</t>
  </si>
  <si>
    <t>Spese di rappresentanza</t>
  </si>
  <si>
    <t>Limiti deduc. art. 108 TUIR</t>
  </si>
  <si>
    <t>200.010.0023</t>
  </si>
  <si>
    <t>Spese viaggio e trasferta</t>
  </si>
  <si>
    <t>200.010.0024</t>
  </si>
  <si>
    <t>Pasti e alberghi (deduc. 75%)</t>
  </si>
  <si>
    <t>Art. 109 c.5 TUIR</t>
  </si>
  <si>
    <t>200.010.0025</t>
  </si>
  <si>
    <t>Assicurazioni</t>
  </si>
  <si>
    <t>200.010.0026</t>
  </si>
  <si>
    <t>Spese e commissioni bancarie</t>
  </si>
  <si>
    <t>Su conti correnti operativi</t>
  </si>
  <si>
    <t>200.010.0027</t>
  </si>
  <si>
    <t>Vigilanza</t>
  </si>
  <si>
    <t>200.010.0028</t>
  </si>
  <si>
    <t>Pulizie</t>
  </si>
  <si>
    <t>200.010.0029</t>
  </si>
  <si>
    <t>Smaltimento rifiuti</t>
  </si>
  <si>
    <t>200.010.0030</t>
  </si>
  <si>
    <t>Mensa e buoni pasto</t>
  </si>
  <si>
    <t>Deduc. 8 euro/giorno elettronici</t>
  </si>
  <si>
    <t>200.010.0031</t>
  </si>
  <si>
    <t>Formazione del personale</t>
  </si>
  <si>
    <t>200.010.0032</t>
  </si>
  <si>
    <t>Visite mediche e sicurezza sul lavoro</t>
  </si>
  <si>
    <t>D.Lgs. 81/2008</t>
  </si>
  <si>
    <t>200.010.0033</t>
  </si>
  <si>
    <t>Servizi paghe e amministrazione</t>
  </si>
  <si>
    <t>200.010.0034</t>
  </si>
  <si>
    <t>Servizi diversi</t>
  </si>
  <si>
    <t>200.015</t>
  </si>
  <si>
    <t>Costi godimento beni di terzi</t>
  </si>
  <si>
    <t>B.8</t>
  </si>
  <si>
    <t>200.015.0001</t>
  </si>
  <si>
    <t>Affitti passivi immobili</t>
  </si>
  <si>
    <t>200.015.0002</t>
  </si>
  <si>
    <t>Canoni di leasing finanziario</t>
  </si>
  <si>
    <t>200.015.0003</t>
  </si>
  <si>
    <t>Canoni di leasing operativo</t>
  </si>
  <si>
    <t>200.015.0004</t>
  </si>
  <si>
    <t>Noleggi attrezzature</t>
  </si>
  <si>
    <t>200.015.0005</t>
  </si>
  <si>
    <t>Noleggio autoveicoli</t>
  </si>
  <si>
    <t>Deduc. 70%/100% in base all'uso</t>
  </si>
  <si>
    <t>200.015.0006</t>
  </si>
  <si>
    <t>Royalties e diritti d'utilizzo</t>
  </si>
  <si>
    <t>200.015.0007</t>
  </si>
  <si>
    <t>Licenze d'uso software a canone</t>
  </si>
  <si>
    <t>SaaS pluriennali</t>
  </si>
  <si>
    <t>200.020</t>
  </si>
  <si>
    <t>Costi per il personale</t>
  </si>
  <si>
    <t>B.9</t>
  </si>
  <si>
    <t>200.020.0001</t>
  </si>
  <si>
    <t>Salari e stipendi</t>
  </si>
  <si>
    <t>B.9.a</t>
  </si>
  <si>
    <t>200.020.0002</t>
  </si>
  <si>
    <t>Oneri sociali INPS</t>
  </si>
  <si>
    <t>B.9.b</t>
  </si>
  <si>
    <t>200.020.0003</t>
  </si>
  <si>
    <t>Oneri sociali INAIL</t>
  </si>
  <si>
    <t>200.020.0004</t>
  </si>
  <si>
    <t>Trattamento di fine rapporto</t>
  </si>
  <si>
    <t>B.9.c</t>
  </si>
  <si>
    <t>Quota di competenza</t>
  </si>
  <si>
    <t>200.020.0005</t>
  </si>
  <si>
    <t>Trattamento di quiescenza e simili</t>
  </si>
  <si>
    <t>B.9.d</t>
  </si>
  <si>
    <t>200.020.0006</t>
  </si>
  <si>
    <t>Indennita' di trasferta</t>
  </si>
  <si>
    <t>B.9.e</t>
  </si>
  <si>
    <t>200.020.0007</t>
  </si>
  <si>
    <t>Premi e incentivi</t>
  </si>
  <si>
    <t>200.020.0008</t>
  </si>
  <si>
    <t>Altri costi del personale</t>
  </si>
  <si>
    <t>200.025</t>
  </si>
  <si>
    <t>Ammortamenti e svalutazioni</t>
  </si>
  <si>
    <t>B.10</t>
  </si>
  <si>
    <t>200.025.0001</t>
  </si>
  <si>
    <t>Amm.to immobilizzazioni immateriali</t>
  </si>
  <si>
    <t>B.10.a</t>
  </si>
  <si>
    <t>200.025.0002</t>
  </si>
  <si>
    <t>Amm.to immobilizzazioni materiali</t>
  </si>
  <si>
    <t>B.10.b</t>
  </si>
  <si>
    <t>200.025.0003</t>
  </si>
  <si>
    <t>Altre svalutazioni delle immobilizzaz.</t>
  </si>
  <si>
    <t>B.10.c</t>
  </si>
  <si>
    <t>200.025.0004</t>
  </si>
  <si>
    <t>Svalutazione crediti attivo circolante</t>
  </si>
  <si>
    <t>B.10.d</t>
  </si>
  <si>
    <t>Acc.to a fondo svalutazione</t>
  </si>
  <si>
    <t>200.030</t>
  </si>
  <si>
    <t>Variazioni rim. materie prime/merci</t>
  </si>
  <si>
    <t>B.11</t>
  </si>
  <si>
    <t>200.030.0001</t>
  </si>
  <si>
    <t>Variazione rim. materie prime</t>
  </si>
  <si>
    <t>200.030.0002</t>
  </si>
  <si>
    <t>Variazione rim. materie sussidiarie</t>
  </si>
  <si>
    <t>200.030.0003</t>
  </si>
  <si>
    <t>Variazione rim. materiali di consumo</t>
  </si>
  <si>
    <t>200.030.0004</t>
  </si>
  <si>
    <t>Variazione rim. merci</t>
  </si>
  <si>
    <t>200.035</t>
  </si>
  <si>
    <t>Accantonamenti per rischi</t>
  </si>
  <si>
    <t>B.12</t>
  </si>
  <si>
    <t>200.035.0001</t>
  </si>
  <si>
    <t>Accantonamento rischi su crediti</t>
  </si>
  <si>
    <t>200.035.0002</t>
  </si>
  <si>
    <t>Accantonamento rischi cause legali</t>
  </si>
  <si>
    <t>200.035.0003</t>
  </si>
  <si>
    <t>Accantonamento garanzia prodotti</t>
  </si>
  <si>
    <t>200.040</t>
  </si>
  <si>
    <t>Altri accantonamenti</t>
  </si>
  <si>
    <t>B.13</t>
  </si>
  <si>
    <t>200.040.0001</t>
  </si>
  <si>
    <t>Acc.to manutenzioni programmate</t>
  </si>
  <si>
    <t>200.040.0002</t>
  </si>
  <si>
    <t>200.045</t>
  </si>
  <si>
    <t>Oneri diversi di gestione</t>
  </si>
  <si>
    <t>B.14</t>
  </si>
  <si>
    <t>200.045.0001</t>
  </si>
  <si>
    <t>IMU</t>
  </si>
  <si>
    <t>Deduc. ai fini IRES dal 2022</t>
  </si>
  <si>
    <t>200.045.0002</t>
  </si>
  <si>
    <t>TARI</t>
  </si>
  <si>
    <t>200.045.0003</t>
  </si>
  <si>
    <t>Imposta di bollo</t>
  </si>
  <si>
    <t>200.045.0004</t>
  </si>
  <si>
    <t>Imposta di registro</t>
  </si>
  <si>
    <t>200.045.0005</t>
  </si>
  <si>
    <t>Diritti CCIAA</t>
  </si>
  <si>
    <t>200.045.0006</t>
  </si>
  <si>
    <t>Tassa concessione governativa</t>
  </si>
  <si>
    <t>200.045.0007</t>
  </si>
  <si>
    <t>Bollo auto</t>
  </si>
  <si>
    <t>200.045.0008</t>
  </si>
  <si>
    <t>Altre imposte e tasse deducibili</t>
  </si>
  <si>
    <t>200.045.0009</t>
  </si>
  <si>
    <t>Sopravvenienze passive ordinarie</t>
  </si>
  <si>
    <t>200.045.0010</t>
  </si>
  <si>
    <t>Minusvalenze ordinarie alienazione cespiti</t>
  </si>
  <si>
    <t>200.045.0011</t>
  </si>
  <si>
    <t>Abbonamenti, riviste e quote associative</t>
  </si>
  <si>
    <t>200.045.0012</t>
  </si>
  <si>
    <t>Omaggi a clienti</t>
  </si>
  <si>
    <t>Deduc. &lt;=50 euro - art. 108 TUIR</t>
  </si>
  <si>
    <t>200.045.0013</t>
  </si>
  <si>
    <t>Erogazioni liberali</t>
  </si>
  <si>
    <t>Limiti art. 100 TUIR</t>
  </si>
  <si>
    <t>200.045.0014</t>
  </si>
  <si>
    <t>Multe e sanzioni</t>
  </si>
  <si>
    <t>INDEDUCIBILI ai fini IRES</t>
  </si>
  <si>
    <t>200.045.0015</t>
  </si>
  <si>
    <t>Costi indeducibili vari</t>
  </si>
  <si>
    <t>400</t>
  </si>
  <si>
    <t>PROVENTI E ONERI FINANZIARI</t>
  </si>
  <si>
    <t>400.005</t>
  </si>
  <si>
    <t>Proventi da partecipazioni</t>
  </si>
  <si>
    <t>C.15</t>
  </si>
  <si>
    <t>400.005.0001</t>
  </si>
  <si>
    <t>Dividendi da imprese controllate</t>
  </si>
  <si>
    <t>400.005.0002</t>
  </si>
  <si>
    <t>Dividendi da imprese collegate</t>
  </si>
  <si>
    <t>400.005.0003</t>
  </si>
  <si>
    <t>Dividendi da imprese controllanti</t>
  </si>
  <si>
    <t>400.005.0004</t>
  </si>
  <si>
    <t>Dividendi da altre imprese</t>
  </si>
  <si>
    <t>400.010</t>
  </si>
  <si>
    <t>Altri proventi finanziari</t>
  </si>
  <si>
    <t>C.16</t>
  </si>
  <si>
    <t>400.010.0001</t>
  </si>
  <si>
    <t>Interessi attivi su crediti immobilizz.</t>
  </si>
  <si>
    <t>C.16.a</t>
  </si>
  <si>
    <t>400.010.0002</t>
  </si>
  <si>
    <t>Int. attivi titoli iscritti tra immob.</t>
  </si>
  <si>
    <t>C.16.b</t>
  </si>
  <si>
    <t>400.010.0003</t>
  </si>
  <si>
    <t>Int. attivi titoli iscritti circolante</t>
  </si>
  <si>
    <t>C.16.c</t>
  </si>
  <si>
    <t>400.010.0004</t>
  </si>
  <si>
    <t>Interessi attivi bancari</t>
  </si>
  <si>
    <t>C.16.d</t>
  </si>
  <si>
    <t>400.010.0005</t>
  </si>
  <si>
    <t>Interessi attivi di mora v/clienti</t>
  </si>
  <si>
    <t>400.010.0006</t>
  </si>
  <si>
    <t>Altri proventi finanziari diversi</t>
  </si>
  <si>
    <t>400.010.0007</t>
  </si>
  <si>
    <t>Utili su cambi</t>
  </si>
  <si>
    <t>C.17-bis</t>
  </si>
  <si>
    <t>410</t>
  </si>
  <si>
    <t>INTERESSI E ALTRI ONERI FINANZIARI</t>
  </si>
  <si>
    <t>C.17</t>
  </si>
  <si>
    <t>410.005</t>
  </si>
  <si>
    <t>Interessi e oneri finanziari</t>
  </si>
  <si>
    <t>410.005.0001</t>
  </si>
  <si>
    <t>Interessi passivi v/banche</t>
  </si>
  <si>
    <t>410.005.0002</t>
  </si>
  <si>
    <t>Interessi passivi su mutui</t>
  </si>
  <si>
    <t>410.005.0003</t>
  </si>
  <si>
    <t>Interessi passivi v/fornitori</t>
  </si>
  <si>
    <t>410.005.0004</t>
  </si>
  <si>
    <t>Interessi passivi su finanziamento soci</t>
  </si>
  <si>
    <t>410.005.0005</t>
  </si>
  <si>
    <t>Oneri finanziari su contratti derivati</t>
  </si>
  <si>
    <t>410.005.0006</t>
  </si>
  <si>
    <t>Spese e commissioni bancarie finanziarie</t>
  </si>
  <si>
    <t>Su finanziamenti</t>
  </si>
  <si>
    <t>410.005.0007</t>
  </si>
  <si>
    <t>Altri interessi e oneri finanziari</t>
  </si>
  <si>
    <t>410.005.0008</t>
  </si>
  <si>
    <t>Perdite su cambi</t>
  </si>
  <si>
    <t>420</t>
  </si>
  <si>
    <t>RETTIFICHE DI VALORE ATTIVITA' E PASS. FIN.</t>
  </si>
  <si>
    <t>420.005</t>
  </si>
  <si>
    <t>Rivalutazioni</t>
  </si>
  <si>
    <t>D.18</t>
  </si>
  <si>
    <t>420.005.0001</t>
  </si>
  <si>
    <t>Rivalutazioni di partecipazioni</t>
  </si>
  <si>
    <t>D.18.a</t>
  </si>
  <si>
    <t>420.005.0002</t>
  </si>
  <si>
    <t>Rivalutaz. immob. finanziarie non part.</t>
  </si>
  <si>
    <t>D.18.b</t>
  </si>
  <si>
    <t>420.005.0003</t>
  </si>
  <si>
    <t>Rivalutaz. titoli circolante non part.</t>
  </si>
  <si>
    <t>D.18.c</t>
  </si>
  <si>
    <t>420.005.0004</t>
  </si>
  <si>
    <t>Rivalutaz. strumenti fin. derivati</t>
  </si>
  <si>
    <t>D.18.d</t>
  </si>
  <si>
    <t>420.010</t>
  </si>
  <si>
    <t>Svalutazioni</t>
  </si>
  <si>
    <t>D.19</t>
  </si>
  <si>
    <t>420.010.0001</t>
  </si>
  <si>
    <t>Svalutazioni di partecipazioni</t>
  </si>
  <si>
    <t>D.19.a</t>
  </si>
  <si>
    <t>420.010.0002</t>
  </si>
  <si>
    <t>Svalutaz. immob. finanziarie non part.</t>
  </si>
  <si>
    <t>D.19.b</t>
  </si>
  <si>
    <t>420.010.0003</t>
  </si>
  <si>
    <t>Svalutaz. titoli circolante non part.</t>
  </si>
  <si>
    <t>D.19.c</t>
  </si>
  <si>
    <t>420.010.0004</t>
  </si>
  <si>
    <t>Svalutaz. strumenti fin. derivati</t>
  </si>
  <si>
    <t>D.19.d</t>
  </si>
  <si>
    <t>480</t>
  </si>
  <si>
    <t>IMPOSTE SUL REDDITO DELL'ESERCIZIO</t>
  </si>
  <si>
    <t>20</t>
  </si>
  <si>
    <t>480.005</t>
  </si>
  <si>
    <t>Imposte correnti, anticipate e differite</t>
  </si>
  <si>
    <t>480.005.0001</t>
  </si>
  <si>
    <t>IRES corrente</t>
  </si>
  <si>
    <t>20.a</t>
  </si>
  <si>
    <t>Aliquota 24%</t>
  </si>
  <si>
    <t>480.005.0002</t>
  </si>
  <si>
    <t>IRAP corrente</t>
  </si>
  <si>
    <t>Aliquota base 3,9% (variabile per regione/settore)</t>
  </si>
  <si>
    <t>480.005.0003</t>
  </si>
  <si>
    <t>Imposte differite</t>
  </si>
  <si>
    <t>20.b</t>
  </si>
  <si>
    <t>480.005.0004</t>
  </si>
  <si>
    <t>Imposte anticipate (utilizzo)</t>
  </si>
  <si>
    <t>480.005.0005</t>
  </si>
  <si>
    <t>Imposte esercizi precedenti</t>
  </si>
  <si>
    <t>20.c</t>
  </si>
  <si>
    <t>480.005.0006</t>
  </si>
  <si>
    <t>Imposta sostitutiva su rivalutazioni</t>
  </si>
  <si>
    <t>500</t>
  </si>
  <si>
    <t>RISULTATO DELL'ESERCIZIO</t>
  </si>
  <si>
    <t>21</t>
  </si>
  <si>
    <t>500.005</t>
  </si>
  <si>
    <t>Risultato d'esercizio</t>
  </si>
  <si>
    <t>500.005.0001</t>
  </si>
  <si>
    <t>Utile/Perdita d'esercizio (epilogo)</t>
  </si>
  <si>
    <t>Conto di chiusura</t>
  </si>
  <si>
    <t>TOTALE GENERALE BILANCIO DI VERIFICA</t>
  </si>
  <si>
    <t>QUADRATURA (Dare - Avere)</t>
  </si>
  <si>
    <t>BILANCIO DI VERIFICA AL 31/12/2026 - Sintesi per Mastro</t>
  </si>
  <si>
    <t>Saldo Netto</t>
  </si>
  <si>
    <t>TOTALE BILANCIO DI VERIFICA</t>
  </si>
  <si>
    <t>QUADRATURA</t>
  </si>
  <si>
    <t>STATO PATRIMONIALE CIVILISTICO (artt. 2424 c.c.) - VALORIZZATO al 31/12/2026</t>
  </si>
  <si>
    <t>ATTIVO</t>
  </si>
  <si>
    <t>A) CREDITI VERSO SOCI PER VERSAMENTI ANCORA DOVUTI</t>
  </si>
  <si>
    <t>B) IMMOBILIZZAZIONI</t>
  </si>
  <si>
    <t xml:space="preserve">  I. Immobilizzazioni immateriali</t>
  </si>
  <si>
    <t xml:space="preserve">    1) Costi di impianto e di ampliamento</t>
  </si>
  <si>
    <t xml:space="preserve">    3) Diritti brev. ind., utilizzo opere ingegno</t>
  </si>
  <si>
    <t xml:space="preserve">    4) Concessioni, licenze, marchi e simili</t>
  </si>
  <si>
    <t xml:space="preserve">    5) Avviamento</t>
  </si>
  <si>
    <t xml:space="preserve">    7) Altre immobilizzazioni immateriali</t>
  </si>
  <si>
    <t xml:space="preserve">  II. Immobilizzazioni materiali</t>
  </si>
  <si>
    <t xml:space="preserve">    1) Terreni e fabbricati</t>
  </si>
  <si>
    <t xml:space="preserve">    2) Impianti e macchinario</t>
  </si>
  <si>
    <t xml:space="preserve">    3) Attrezzature industriali e commerciali</t>
  </si>
  <si>
    <t xml:space="preserve">    4) Altri beni</t>
  </si>
  <si>
    <t xml:space="preserve">  III. Immobilizzazioni finanziarie</t>
  </si>
  <si>
    <t xml:space="preserve">    1.d) Partecipazioni in altre imprese</t>
  </si>
  <si>
    <t>Totale Immobilizzazioni (B)</t>
  </si>
  <si>
    <t>C) ATTIVO CIRCOLANTE</t>
  </si>
  <si>
    <t xml:space="preserve">  I. Rimanenze</t>
  </si>
  <si>
    <t xml:space="preserve">    1) Materie prime, sussidiarie, di consumo</t>
  </si>
  <si>
    <t xml:space="preserve">    2) Prodotti in corso di lavorazione e semilavorati</t>
  </si>
  <si>
    <t xml:space="preserve">    4) Prodotti finiti e merci</t>
  </si>
  <si>
    <t xml:space="preserve">  II. Crediti</t>
  </si>
  <si>
    <t xml:space="preserve">    1) Verso clienti (al netto fondo svalutazione)</t>
  </si>
  <si>
    <t xml:space="preserve">    5-bis) Crediti tributari</t>
  </si>
  <si>
    <t xml:space="preserve">    5-ter) Imposte anticipate</t>
  </si>
  <si>
    <t xml:space="preserve">    5-quater) Verso altri</t>
  </si>
  <si>
    <t xml:space="preserve">  IV. Disponibilita' liquide</t>
  </si>
  <si>
    <t xml:space="preserve">    1) Depositi bancari e postali</t>
  </si>
  <si>
    <t xml:space="preserve">    3) Denaro e valori in cassa</t>
  </si>
  <si>
    <t>Totale Attivo Circolante (C)</t>
  </si>
  <si>
    <t>D) RATEI E RISCONTI ATTIVI</t>
  </si>
  <si>
    <t>TOTALE ATTIVO</t>
  </si>
  <si>
    <t>PASSIVO E PATRIMONIO NETTO</t>
  </si>
  <si>
    <t>A) PATRIMONIO NETTO</t>
  </si>
  <si>
    <t xml:space="preserve">  I. Capitale</t>
  </si>
  <si>
    <t xml:space="preserve">  IV. Riserva legale</t>
  </si>
  <si>
    <t xml:space="preserve">  VI. Altre riserve (straord. + vers. soci c/cap)</t>
  </si>
  <si>
    <t xml:space="preserve">  VIII. Utili (perdite) portati a nuovo</t>
  </si>
  <si>
    <t xml:space="preserve">  IX. Utile (perdita) dell'esercizio (calcolato dal CE)</t>
  </si>
  <si>
    <t>Totale Patrimonio Netto (A)</t>
  </si>
  <si>
    <t>B) FONDI PER RISCHI E ONERI</t>
  </si>
  <si>
    <t xml:space="preserve">  2) Fondo imposte differite</t>
  </si>
  <si>
    <t xml:space="preserve">  4) Altri fondi (manutenz., cause legali)</t>
  </si>
  <si>
    <t>C) TRATTAMENTO DI FINE RAPPORTO</t>
  </si>
  <si>
    <t>D) DEBITI</t>
  </si>
  <si>
    <t xml:space="preserve">  3) Debiti verso soci per finanziamenti</t>
  </si>
  <si>
    <t xml:space="preserve">  4) Debiti verso banche</t>
  </si>
  <si>
    <t xml:space="preserve">  5) Debiti verso altri finanziatori</t>
  </si>
  <si>
    <t xml:space="preserve">  6) Acconti (clienti c/anticipi)</t>
  </si>
  <si>
    <t xml:space="preserve">  7) Debiti verso fornitori</t>
  </si>
  <si>
    <t xml:space="preserve">  12) Debiti tributari</t>
  </si>
  <si>
    <t xml:space="preserve">  13) Debiti verso istituti di previdenza</t>
  </si>
  <si>
    <t xml:space="preserve">  14) Altri debiti</t>
  </si>
  <si>
    <t>E) RATEI E RISCONTI PASSIVI</t>
  </si>
  <si>
    <t>TOTALE PASSIVO E PATRIMONIO NETTO</t>
  </si>
  <si>
    <t xml:space="preserve">VERIFICA: Attivo - (Passivo+PN) = </t>
  </si>
  <si>
    <t>CONTO ECONOMICO CIVILISTICO (art. 2425 c.c.) - VALORIZZATO esercizio 2026</t>
  </si>
  <si>
    <t>A) VALORE DELLA PRODUZIONE</t>
  </si>
  <si>
    <t xml:space="preserve">  1) Ricavi delle vendite e delle prestazioni</t>
  </si>
  <si>
    <t xml:space="preserve">  2) Variazioni rim. prodotti in corso, semilav., finiti</t>
  </si>
  <si>
    <t xml:space="preserve">  5) Altri ricavi e proventi</t>
  </si>
  <si>
    <t xml:space="preserve">    di cui contributi in c/esercizio</t>
  </si>
  <si>
    <t>Totale A)</t>
  </si>
  <si>
    <t>B) COSTI DELLA PRODUZIONE</t>
  </si>
  <si>
    <t xml:space="preserve">  6) Costi materie prime, sussidiarie, consumo, merci</t>
  </si>
  <si>
    <t xml:space="preserve">  7) Costi per servizi</t>
  </si>
  <si>
    <t xml:space="preserve">  8) Costi per godimento beni di terzi</t>
  </si>
  <si>
    <t xml:space="preserve">  9) Costi per il personale</t>
  </si>
  <si>
    <t xml:space="preserve">    a) salari e stipendi</t>
  </si>
  <si>
    <t xml:space="preserve">    b) oneri sociali</t>
  </si>
  <si>
    <t xml:space="preserve">    c) trattamento di fine rapporto</t>
  </si>
  <si>
    <t xml:space="preserve">    e) altri costi</t>
  </si>
  <si>
    <t xml:space="preserve">  10) Ammortamenti e svalutazioni</t>
  </si>
  <si>
    <t xml:space="preserve">    a) amm.to immob. immateriali</t>
  </si>
  <si>
    <t xml:space="preserve">    b) amm.to immob. materiali</t>
  </si>
  <si>
    <t xml:space="preserve">    d) svalutazione crediti attivo circolante</t>
  </si>
  <si>
    <t xml:space="preserve">  11) Variazione rim. materie prime, sussidiarie, consumo, merci</t>
  </si>
  <si>
    <t xml:space="preserve">  12) Accantonamenti per rischi</t>
  </si>
  <si>
    <t xml:space="preserve">  14) Oneri diversi di gestione</t>
  </si>
  <si>
    <t>Totale B)</t>
  </si>
  <si>
    <t>DIFFERENZA TRA VALORE E COSTI DELLA PRODUZIONE (A-B)</t>
  </si>
  <si>
    <t>C) PROVENTI E ONERI FINANZIARI</t>
  </si>
  <si>
    <t xml:space="preserve">  16) Altri proventi finanziari</t>
  </si>
  <si>
    <t xml:space="preserve">  17) Interessi e altri oneri finanziari</t>
  </si>
  <si>
    <t>Totale C)</t>
  </si>
  <si>
    <t>RISULTATO PRIMA DELLE IMPOSTE (A-B+/-C)</t>
  </si>
  <si>
    <t>20) Imposte sul reddito (correnti, differite, anticipate)</t>
  </si>
  <si>
    <t>21) UTILE (PERDITA) DELL'ESERCIZIO</t>
  </si>
  <si>
    <t>Voce di bilancio</t>
  </si>
  <si>
    <t>Riferimento PdC</t>
  </si>
  <si>
    <t>A) Crediti verso soci per versamenti ancora dovuti</t>
  </si>
  <si>
    <t xml:space="preserve">  I - Immobilizzazioni immateriali</t>
  </si>
  <si>
    <t>Mastro 010</t>
  </si>
  <si>
    <t xml:space="preserve">  II - Immobilizzazioni materiali</t>
  </si>
  <si>
    <t>Mastro 020</t>
  </si>
  <si>
    <t xml:space="preserve">  III - Immobilizzazioni finanziarie</t>
  </si>
  <si>
    <t>Mastro 030</t>
  </si>
  <si>
    <t xml:space="preserve">  I - Rimanenze</t>
  </si>
  <si>
    <t>Mastro 040</t>
  </si>
  <si>
    <t xml:space="preserve">  II - Crediti</t>
  </si>
  <si>
    <t>Mastro 050</t>
  </si>
  <si>
    <t xml:space="preserve">  III - Attivita' finanziarie non immobilizzate</t>
  </si>
  <si>
    <t>Mastro 060</t>
  </si>
  <si>
    <t xml:space="preserve">  IV - Disponibilita' liquide</t>
  </si>
  <si>
    <t>Mastro 070</t>
  </si>
  <si>
    <t>Mastro 080</t>
  </si>
  <si>
    <t>PASSIVO</t>
  </si>
  <si>
    <t>Mastro 100</t>
  </si>
  <si>
    <t>Mastro 110</t>
  </si>
  <si>
    <t>Mastro 120</t>
  </si>
  <si>
    <t>Mastro 130</t>
  </si>
  <si>
    <t>Mastro 180</t>
  </si>
  <si>
    <t>Termine / sigla</t>
  </si>
  <si>
    <t>Spiegazione</t>
  </si>
  <si>
    <t>LIVELLO</t>
  </si>
  <si>
    <t>Livello 1 - aggregazione di alto livello (es. 'Immob. Materiali'). Sintetico, non si movimenta direttamente.</t>
  </si>
  <si>
    <t>Livello 2 - sottoinsieme tematico di un mastro. Sintetico, non si movimenta direttamente.</t>
  </si>
  <si>
    <t>Livello 3 - foglia operativa, e' qui che si registrano le scritture in prima nota.</t>
  </si>
  <si>
    <t>NATURA</t>
  </si>
  <si>
    <t>Attivo Patrim.</t>
  </si>
  <si>
    <t>Voce dello Stato Patrimoniale - sezione Attivo (saldo Dare).</t>
  </si>
  <si>
    <t>Passivo Patrim.</t>
  </si>
  <si>
    <t>Voce dello Stato Patrimoniale - sezione Passivo (saldo Avere).</t>
  </si>
  <si>
    <t>Capitale e riserve della societa' (saldo Avere; perdite hanno saldo Dare).</t>
  </si>
  <si>
    <t>Voce del Conto Economico - costo (saldo Dare).</t>
  </si>
  <si>
    <t>Voce del Conto Economico - ricavo o provento (saldo Avere).</t>
  </si>
  <si>
    <t>Conto rettificativo dell'attivo (es. fondo amm.to). Saldo Avere ma classificato in detrazione dell'attivo.</t>
  </si>
  <si>
    <t>Saldo normale in DARE (attivita', costi).</t>
  </si>
  <si>
    <t>Saldo normale in AVERE (passivita', PN, ricavi, fondi).</t>
  </si>
  <si>
    <t>RIFERIMENTI NORMATIVI / OIC</t>
  </si>
  <si>
    <t>Codice Civile</t>
  </si>
  <si>
    <t>Artt. 2424 (SP), 2425 (CE), 2426 (criteri valutazione), 2427 (nota integrativa).</t>
  </si>
  <si>
    <t>D.Lgs. 139/2015</t>
  </si>
  <si>
    <t>Riforma del bilancio: eliminazione conti d'ordine, introduzione strumenti derivati.</t>
  </si>
  <si>
    <t>OIC 9</t>
  </si>
  <si>
    <t>Svalutazioni delle immobilizzazioni materiali e immateriali.</t>
  </si>
  <si>
    <t>OIC 13</t>
  </si>
  <si>
    <t>Rimanenze.</t>
  </si>
  <si>
    <t>OIC 15</t>
  </si>
  <si>
    <t>Crediti.</t>
  </si>
  <si>
    <t>OIC 16</t>
  </si>
  <si>
    <t>Immobilizzazioni materiali.</t>
  </si>
  <si>
    <t>Ratei e risconti.</t>
  </si>
  <si>
    <t>OIC 19</t>
  </si>
  <si>
    <t>Debiti.</t>
  </si>
  <si>
    <t>OIC 23</t>
  </si>
  <si>
    <t>Lavori in corso su ordinazione.</t>
  </si>
  <si>
    <t>OIC 24</t>
  </si>
  <si>
    <t>Immobilizzazioni immateriali.</t>
  </si>
  <si>
    <t>Imposte sul reddito (correnti, differite, anticipate).</t>
  </si>
  <si>
    <t>OIC 28</t>
  </si>
  <si>
    <t>Patrimonio netto.</t>
  </si>
  <si>
    <t>Fondi per rischi e oneri e TFR.</t>
  </si>
  <si>
    <t>OIC 32</t>
  </si>
  <si>
    <t>Strumenti finanziari derivati.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</si>
</sst>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\-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000000"/>
      <name val="Arial"/>
      <family val="2"/>
    </font>
    <font>
      <b/>
      <sz val="11"/>
      <color rgb="FF00610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10"/>
      <color rgb="FF595959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03864"/>
        <bgColor rgb="FF1F3864"/>
      </patternFill>
    </fill>
    <fill>
      <patternFill patternType="solid">
        <fgColor rgb="FF1F3864"/>
        <bgColor rgb="FF203864"/>
      </patternFill>
    </fill>
    <fill>
      <patternFill patternType="solid">
        <fgColor rgb="FFD9E1F2"/>
        <bgColor rgb="FFDEEBF7"/>
      </patternFill>
    </fill>
    <fill>
      <patternFill patternType="solid">
        <fgColor rgb="FFEDF1F8"/>
        <bgColor rgb="FFDEEBF7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DEEBF7"/>
        <bgColor rgb="FFD9E1F2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DEEBF7"/>
      </patternFill>
    </fill>
    <fill>
      <patternFill patternType="solid">
        <fgColor rgb="FFFBE5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2" xfId="0" applyFont="1" applyFill="1" applyBorder="1"/>
    <xf numFmtId="0" fontId="9" fillId="6" borderId="2" xfId="0" applyFont="1" applyFill="1" applyBorder="1" applyAlignment="1">
      <alignment horizontal="right" vertical="center"/>
    </xf>
    <xf numFmtId="164" fontId="9" fillId="6" borderId="2" xfId="0" applyNumberFormat="1" applyFont="1" applyFill="1" applyBorder="1" applyAlignment="1">
      <alignment horizontal="right" vertical="center"/>
    </xf>
    <xf numFmtId="0" fontId="10" fillId="7" borderId="2" xfId="0" applyFont="1" applyFill="1" applyBorder="1"/>
    <xf numFmtId="0" fontId="10" fillId="7" borderId="2" xfId="0" applyFont="1" applyFill="1" applyBorder="1" applyAlignment="1">
      <alignment horizontal="right" vertical="center"/>
    </xf>
    <xf numFmtId="164" fontId="10" fillId="7" borderId="2" xfId="0" applyNumberFormat="1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164" fontId="0" fillId="8" borderId="1" xfId="0" applyNumberForma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164" fontId="0" fillId="9" borderId="1" xfId="0" applyNumberForma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164" fontId="0" fillId="10" borderId="1" xfId="0" applyNumberForma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164" fontId="0" fillId="11" borderId="1" xfId="0" applyNumberForma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164" fontId="0" fillId="6" borderId="1" xfId="0" applyNumberForma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11" fillId="5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EDF1F8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7"/>
  <sheetViews>
    <sheetView showGridLines="0" zoomScaleNormal="100" workbookViewId="0">
      <selection activeCell="B32" sqref="B32"/>
    </sheetView>
  </sheetViews>
  <sheetFormatPr defaultColWidth="8.6328125" defaultRowHeight="14.5" x14ac:dyDescent="0.35"/>
  <cols>
    <col min="1" max="1" width="4" customWidth="1"/>
    <col min="2" max="2" width="110" customWidth="1"/>
  </cols>
  <sheetData>
    <row r="2" spans="2:2" ht="30" customHeight="1" x14ac:dyDescent="0.35">
      <c r="B2" s="2" t="s">
        <v>0</v>
      </c>
    </row>
    <row r="4" spans="2:2" x14ac:dyDescent="0.35">
      <c r="B4" s="3"/>
    </row>
    <row r="5" spans="2:2" x14ac:dyDescent="0.35">
      <c r="B5" s="4" t="s">
        <v>1</v>
      </c>
    </row>
    <row r="6" spans="2:2" x14ac:dyDescent="0.35">
      <c r="B6" s="3" t="s">
        <v>2</v>
      </c>
    </row>
    <row r="7" spans="2:2" x14ac:dyDescent="0.35">
      <c r="B7" s="3" t="s">
        <v>3</v>
      </c>
    </row>
    <row r="8" spans="2:2" x14ac:dyDescent="0.35">
      <c r="B8" s="3" t="s">
        <v>4</v>
      </c>
    </row>
    <row r="9" spans="2:2" x14ac:dyDescent="0.35">
      <c r="B9" s="3" t="s">
        <v>5</v>
      </c>
    </row>
    <row r="10" spans="2:2" x14ac:dyDescent="0.35">
      <c r="B10" s="3"/>
    </row>
    <row r="11" spans="2:2" x14ac:dyDescent="0.35">
      <c r="B11" s="4" t="s">
        <v>6</v>
      </c>
    </row>
    <row r="12" spans="2:2" x14ac:dyDescent="0.35">
      <c r="B12" s="3" t="s">
        <v>7</v>
      </c>
    </row>
    <row r="13" spans="2:2" x14ac:dyDescent="0.35">
      <c r="B13" s="3" t="s">
        <v>8</v>
      </c>
    </row>
    <row r="14" spans="2:2" x14ac:dyDescent="0.35">
      <c r="B14" s="3" t="s">
        <v>9</v>
      </c>
    </row>
    <row r="15" spans="2:2" x14ac:dyDescent="0.35">
      <c r="B15" s="3" t="s">
        <v>10</v>
      </c>
    </row>
    <row r="16" spans="2:2" x14ac:dyDescent="0.35">
      <c r="B16" s="3" t="s">
        <v>11</v>
      </c>
    </row>
    <row r="17" spans="2:2" x14ac:dyDescent="0.35">
      <c r="B17" s="3" t="s">
        <v>12</v>
      </c>
    </row>
    <row r="18" spans="2:2" x14ac:dyDescent="0.35">
      <c r="B18" s="3"/>
    </row>
    <row r="19" spans="2:2" x14ac:dyDescent="0.35">
      <c r="B19" s="4" t="s">
        <v>13</v>
      </c>
    </row>
    <row r="20" spans="2:2" x14ac:dyDescent="0.35">
      <c r="B20" s="3" t="s">
        <v>14</v>
      </c>
    </row>
    <row r="21" spans="2:2" x14ac:dyDescent="0.35">
      <c r="B21" s="3" t="s">
        <v>15</v>
      </c>
    </row>
    <row r="22" spans="2:2" x14ac:dyDescent="0.35">
      <c r="B22" s="3" t="s">
        <v>16</v>
      </c>
    </row>
    <row r="23" spans="2:2" x14ac:dyDescent="0.35">
      <c r="B23" s="3" t="s">
        <v>17</v>
      </c>
    </row>
    <row r="24" spans="2:2" x14ac:dyDescent="0.35">
      <c r="B24" s="3" t="s">
        <v>18</v>
      </c>
    </row>
    <row r="25" spans="2:2" x14ac:dyDescent="0.35">
      <c r="B25" s="3"/>
    </row>
    <row r="26" spans="2:2" x14ac:dyDescent="0.35">
      <c r="B26" s="3" t="s">
        <v>19</v>
      </c>
    </row>
    <row r="27" spans="2:2" x14ac:dyDescent="0.35">
      <c r="B27" s="3" t="s">
        <v>20</v>
      </c>
    </row>
    <row r="28" spans="2:2" x14ac:dyDescent="0.35">
      <c r="B28" s="3" t="s">
        <v>21</v>
      </c>
    </row>
    <row r="29" spans="2:2" x14ac:dyDescent="0.35">
      <c r="B29" s="3" t="s">
        <v>22</v>
      </c>
    </row>
    <row r="30" spans="2:2" x14ac:dyDescent="0.35">
      <c r="B30" s="3" t="s">
        <v>23</v>
      </c>
    </row>
    <row r="31" spans="2:2" x14ac:dyDescent="0.35">
      <c r="B31" s="3" t="s">
        <v>24</v>
      </c>
    </row>
    <row r="32" spans="2:2" x14ac:dyDescent="0.35">
      <c r="B32" s="3" t="s">
        <v>25</v>
      </c>
    </row>
    <row r="33" spans="2:2" x14ac:dyDescent="0.35">
      <c r="B33" s="3" t="s">
        <v>26</v>
      </c>
    </row>
    <row r="34" spans="2:2" x14ac:dyDescent="0.35">
      <c r="B34" s="3"/>
    </row>
    <row r="35" spans="2:2" x14ac:dyDescent="0.35">
      <c r="B35" s="3" t="s">
        <v>27</v>
      </c>
    </row>
    <row r="36" spans="2:2" x14ac:dyDescent="0.35">
      <c r="B36" s="3" t="s">
        <v>28</v>
      </c>
    </row>
    <row r="37" spans="2:2" x14ac:dyDescent="0.35">
      <c r="B37" s="3" t="s">
        <v>29</v>
      </c>
    </row>
    <row r="38" spans="2:2" x14ac:dyDescent="0.35">
      <c r="B38" s="3"/>
    </row>
    <row r="39" spans="2:2" x14ac:dyDescent="0.35">
      <c r="B39" s="4" t="s">
        <v>30</v>
      </c>
    </row>
    <row r="40" spans="2:2" x14ac:dyDescent="0.35">
      <c r="B40" s="3" t="s">
        <v>31</v>
      </c>
    </row>
    <row r="41" spans="2:2" x14ac:dyDescent="0.35">
      <c r="B41" s="3" t="s">
        <v>32</v>
      </c>
    </row>
    <row r="42" spans="2:2" x14ac:dyDescent="0.35">
      <c r="B42" s="3" t="s">
        <v>33</v>
      </c>
    </row>
    <row r="43" spans="2:2" x14ac:dyDescent="0.35">
      <c r="B43" s="3" t="s">
        <v>34</v>
      </c>
    </row>
    <row r="44" spans="2:2" x14ac:dyDescent="0.35">
      <c r="B44" s="3" t="s">
        <v>35</v>
      </c>
    </row>
    <row r="45" spans="2:2" x14ac:dyDescent="0.35">
      <c r="B45" s="3" t="s">
        <v>36</v>
      </c>
    </row>
    <row r="46" spans="2:2" x14ac:dyDescent="0.35">
      <c r="B46" s="3" t="s">
        <v>37</v>
      </c>
    </row>
    <row r="47" spans="2:2" x14ac:dyDescent="0.35">
      <c r="B47" s="3" t="s">
        <v>38</v>
      </c>
    </row>
    <row r="48" spans="2:2" x14ac:dyDescent="0.35">
      <c r="B48" s="3" t="s">
        <v>39</v>
      </c>
    </row>
    <row r="49" spans="2:2" x14ac:dyDescent="0.35">
      <c r="B49" s="3"/>
    </row>
    <row r="50" spans="2:2" x14ac:dyDescent="0.35">
      <c r="B50" s="4" t="s">
        <v>40</v>
      </c>
    </row>
    <row r="51" spans="2:2" x14ac:dyDescent="0.35">
      <c r="B51" s="3" t="s">
        <v>41</v>
      </c>
    </row>
    <row r="52" spans="2:2" x14ac:dyDescent="0.35">
      <c r="B52" s="3" t="s">
        <v>42</v>
      </c>
    </row>
    <row r="53" spans="2:2" x14ac:dyDescent="0.35">
      <c r="B53" s="3" t="s">
        <v>43</v>
      </c>
    </row>
    <row r="54" spans="2:2" x14ac:dyDescent="0.35">
      <c r="B54" s="3" t="s">
        <v>44</v>
      </c>
    </row>
    <row r="55" spans="2:2" x14ac:dyDescent="0.35">
      <c r="B55" s="3" t="s">
        <v>45</v>
      </c>
    </row>
    <row r="56" spans="2:2" x14ac:dyDescent="0.35">
      <c r="B56" s="3" t="s">
        <v>46</v>
      </c>
    </row>
    <row r="57" spans="2:2" x14ac:dyDescent="0.35">
      <c r="B57" s="3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458"/>
  <sheetViews>
    <sheetView zoomScaleNormal="100" workbookViewId="0">
      <pane ySplit="1" topLeftCell="A444" activePane="bottomLeft" state="frozen"/>
      <selection pane="bottomLeft" activeCell="C475" sqref="C475"/>
    </sheetView>
  </sheetViews>
  <sheetFormatPr defaultColWidth="8.6328125" defaultRowHeight="14.5" x14ac:dyDescent="0.35"/>
  <cols>
    <col min="1" max="1" width="16" customWidth="1"/>
    <col min="2" max="2" width="12" customWidth="1"/>
    <col min="3" max="3" width="50" customWidth="1"/>
    <col min="4" max="4" width="14" customWidth="1"/>
    <col min="5" max="5" width="22" customWidth="1"/>
    <col min="6" max="6" width="6" customWidth="1"/>
    <col min="7" max="8" width="16" customWidth="1"/>
    <col min="9" max="9" width="50" customWidth="1"/>
  </cols>
  <sheetData>
    <row r="1" spans="1:9" ht="27.75" customHeight="1" x14ac:dyDescent="0.3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</row>
    <row r="2" spans="1:9" x14ac:dyDescent="0.35">
      <c r="A2" s="6" t="s">
        <v>57</v>
      </c>
      <c r="B2" s="7" t="s">
        <v>58</v>
      </c>
      <c r="C2" s="6" t="s">
        <v>59</v>
      </c>
      <c r="D2" s="6" t="s">
        <v>60</v>
      </c>
      <c r="E2" s="7" t="s">
        <v>61</v>
      </c>
      <c r="F2" s="7"/>
      <c r="G2" s="8">
        <f>SUMIFS($G$2:$G$455,$A$2:$A$455,"010.*",$B$2:$B$455,"Sottoconto")</f>
        <v>232000</v>
      </c>
      <c r="H2" s="8">
        <f>SUMIFS($H$2:$H$455,$A$2:$A$455,"010.*",$B$2:$B$455,"Sottoconto")</f>
        <v>125000</v>
      </c>
      <c r="I2" s="6"/>
    </row>
    <row r="3" spans="1:9" x14ac:dyDescent="0.35">
      <c r="A3" s="9" t="s">
        <v>62</v>
      </c>
      <c r="B3" s="10" t="s">
        <v>63</v>
      </c>
      <c r="C3" s="9" t="s">
        <v>64</v>
      </c>
      <c r="D3" s="9" t="s">
        <v>65</v>
      </c>
      <c r="E3" s="10"/>
      <c r="F3" s="10"/>
      <c r="G3" s="11">
        <f>SUMIFS($G$2:$G$455,$A$2:$A$455,"010.005.*",$B$2:$B$455,"Sottoconto")</f>
        <v>12000</v>
      </c>
      <c r="H3" s="11">
        <f>SUMIFS($H$2:$H$455,$A$2:$A$455,"010.005.*",$B$2:$B$455,"Sottoconto")</f>
        <v>12000</v>
      </c>
      <c r="I3" s="9"/>
    </row>
    <row r="4" spans="1:9" x14ac:dyDescent="0.35">
      <c r="A4" s="12" t="s">
        <v>66</v>
      </c>
      <c r="B4" s="13" t="s">
        <v>67</v>
      </c>
      <c r="C4" s="12" t="s">
        <v>68</v>
      </c>
      <c r="D4" s="12" t="s">
        <v>65</v>
      </c>
      <c r="E4" s="13" t="s">
        <v>61</v>
      </c>
      <c r="F4" s="13" t="s">
        <v>69</v>
      </c>
      <c r="G4" s="14">
        <v>8000</v>
      </c>
      <c r="H4" s="14">
        <v>0</v>
      </c>
      <c r="I4" s="15" t="s">
        <v>70</v>
      </c>
    </row>
    <row r="5" spans="1:9" x14ac:dyDescent="0.35">
      <c r="A5" s="12" t="s">
        <v>71</v>
      </c>
      <c r="B5" s="13" t="s">
        <v>67</v>
      </c>
      <c r="C5" s="12" t="s">
        <v>72</v>
      </c>
      <c r="D5" s="12" t="s">
        <v>65</v>
      </c>
      <c r="E5" s="13" t="s">
        <v>61</v>
      </c>
      <c r="F5" s="13" t="s">
        <v>69</v>
      </c>
      <c r="G5" s="14">
        <v>4000</v>
      </c>
      <c r="H5" s="14">
        <v>0</v>
      </c>
      <c r="I5" s="12"/>
    </row>
    <row r="6" spans="1:9" x14ac:dyDescent="0.35">
      <c r="A6" s="12" t="s">
        <v>73</v>
      </c>
      <c r="B6" s="13" t="s">
        <v>67</v>
      </c>
      <c r="C6" s="12" t="s">
        <v>74</v>
      </c>
      <c r="D6" s="12" t="s">
        <v>65</v>
      </c>
      <c r="E6" s="13" t="s">
        <v>75</v>
      </c>
      <c r="F6" s="13" t="s">
        <v>76</v>
      </c>
      <c r="G6" s="14">
        <v>0</v>
      </c>
      <c r="H6" s="14">
        <v>12000</v>
      </c>
      <c r="I6" s="15" t="s">
        <v>77</v>
      </c>
    </row>
    <row r="7" spans="1:9" x14ac:dyDescent="0.35">
      <c r="A7" s="9" t="s">
        <v>78</v>
      </c>
      <c r="B7" s="10" t="s">
        <v>63</v>
      </c>
      <c r="C7" s="9" t="s">
        <v>79</v>
      </c>
      <c r="D7" s="9" t="s">
        <v>80</v>
      </c>
      <c r="E7" s="10"/>
      <c r="F7" s="10"/>
      <c r="G7" s="11">
        <f>SUMIFS($G$2:$G$455,$A$2:$A$455,"010.010.*",$B$2:$B$455,"Sottoconto")</f>
        <v>0</v>
      </c>
      <c r="H7" s="11">
        <f>SUMIFS($H$2:$H$455,$A$2:$A$455,"010.010.*",$B$2:$B$455,"Sottoconto")</f>
        <v>0</v>
      </c>
      <c r="I7" s="9"/>
    </row>
    <row r="8" spans="1:9" x14ac:dyDescent="0.35">
      <c r="A8" s="12" t="s">
        <v>81</v>
      </c>
      <c r="B8" s="13" t="s">
        <v>67</v>
      </c>
      <c r="C8" s="12" t="s">
        <v>82</v>
      </c>
      <c r="D8" s="12" t="s">
        <v>80</v>
      </c>
      <c r="E8" s="13" t="s">
        <v>61</v>
      </c>
      <c r="F8" s="13" t="s">
        <v>69</v>
      </c>
      <c r="G8" s="14">
        <v>0</v>
      </c>
      <c r="H8" s="14">
        <v>0</v>
      </c>
      <c r="I8" s="15" t="s">
        <v>83</v>
      </c>
    </row>
    <row r="9" spans="1:9" x14ac:dyDescent="0.35">
      <c r="A9" s="12" t="s">
        <v>84</v>
      </c>
      <c r="B9" s="13" t="s">
        <v>67</v>
      </c>
      <c r="C9" s="12" t="s">
        <v>85</v>
      </c>
      <c r="D9" s="12" t="s">
        <v>80</v>
      </c>
      <c r="E9" s="13" t="s">
        <v>75</v>
      </c>
      <c r="F9" s="13" t="s">
        <v>76</v>
      </c>
      <c r="G9" s="14">
        <v>0</v>
      </c>
      <c r="H9" s="14">
        <v>0</v>
      </c>
      <c r="I9" s="12"/>
    </row>
    <row r="10" spans="1:9" x14ac:dyDescent="0.35">
      <c r="A10" s="9" t="s">
        <v>86</v>
      </c>
      <c r="B10" s="10" t="s">
        <v>63</v>
      </c>
      <c r="C10" s="9" t="s">
        <v>87</v>
      </c>
      <c r="D10" s="9" t="s">
        <v>88</v>
      </c>
      <c r="E10" s="10"/>
      <c r="F10" s="10"/>
      <c r="G10" s="11">
        <f>SUMIFS($G$2:$G$455,$A$2:$A$455,"010.015.*",$B$2:$B$455,"Sottoconto")</f>
        <v>30000</v>
      </c>
      <c r="H10" s="11">
        <f>SUMIFS($H$2:$H$455,$A$2:$A$455,"010.015.*",$B$2:$B$455,"Sottoconto")</f>
        <v>12000</v>
      </c>
      <c r="I10" s="9"/>
    </row>
    <row r="11" spans="1:9" x14ac:dyDescent="0.35">
      <c r="A11" s="12" t="s">
        <v>89</v>
      </c>
      <c r="B11" s="13" t="s">
        <v>67</v>
      </c>
      <c r="C11" s="12" t="s">
        <v>90</v>
      </c>
      <c r="D11" s="12" t="s">
        <v>88</v>
      </c>
      <c r="E11" s="13" t="s">
        <v>61</v>
      </c>
      <c r="F11" s="13" t="s">
        <v>69</v>
      </c>
      <c r="G11" s="14">
        <v>0</v>
      </c>
      <c r="H11" s="14">
        <v>0</v>
      </c>
      <c r="I11" s="12"/>
    </row>
    <row r="12" spans="1:9" x14ac:dyDescent="0.35">
      <c r="A12" s="12" t="s">
        <v>91</v>
      </c>
      <c r="B12" s="13" t="s">
        <v>67</v>
      </c>
      <c r="C12" s="12" t="s">
        <v>92</v>
      </c>
      <c r="D12" s="12" t="s">
        <v>88</v>
      </c>
      <c r="E12" s="13" t="s">
        <v>61</v>
      </c>
      <c r="F12" s="13" t="s">
        <v>69</v>
      </c>
      <c r="G12" s="14">
        <v>30000</v>
      </c>
      <c r="H12" s="14">
        <v>0</v>
      </c>
      <c r="I12" s="12"/>
    </row>
    <row r="13" spans="1:9" x14ac:dyDescent="0.35">
      <c r="A13" s="12" t="s">
        <v>93</v>
      </c>
      <c r="B13" s="13" t="s">
        <v>67</v>
      </c>
      <c r="C13" s="12" t="s">
        <v>94</v>
      </c>
      <c r="D13" s="12" t="s">
        <v>88</v>
      </c>
      <c r="E13" s="13" t="s">
        <v>61</v>
      </c>
      <c r="F13" s="13" t="s">
        <v>69</v>
      </c>
      <c r="G13" s="14">
        <v>0</v>
      </c>
      <c r="H13" s="14">
        <v>0</v>
      </c>
      <c r="I13" s="12"/>
    </row>
    <row r="14" spans="1:9" x14ac:dyDescent="0.35">
      <c r="A14" s="12" t="s">
        <v>95</v>
      </c>
      <c r="B14" s="13" t="s">
        <v>67</v>
      </c>
      <c r="C14" s="12" t="s">
        <v>96</v>
      </c>
      <c r="D14" s="12" t="s">
        <v>88</v>
      </c>
      <c r="E14" s="13" t="s">
        <v>75</v>
      </c>
      <c r="F14" s="13" t="s">
        <v>76</v>
      </c>
      <c r="G14" s="14">
        <v>0</v>
      </c>
      <c r="H14" s="14">
        <v>0</v>
      </c>
      <c r="I14" s="12"/>
    </row>
    <row r="15" spans="1:9" x14ac:dyDescent="0.35">
      <c r="A15" s="12" t="s">
        <v>97</v>
      </c>
      <c r="B15" s="13" t="s">
        <v>67</v>
      </c>
      <c r="C15" s="12" t="s">
        <v>98</v>
      </c>
      <c r="D15" s="12" t="s">
        <v>88</v>
      </c>
      <c r="E15" s="13" t="s">
        <v>75</v>
      </c>
      <c r="F15" s="13" t="s">
        <v>76</v>
      </c>
      <c r="G15" s="14">
        <v>0</v>
      </c>
      <c r="H15" s="14">
        <v>12000</v>
      </c>
      <c r="I15" s="12"/>
    </row>
    <row r="16" spans="1:9" x14ac:dyDescent="0.35">
      <c r="A16" s="9" t="s">
        <v>99</v>
      </c>
      <c r="B16" s="10" t="s">
        <v>63</v>
      </c>
      <c r="C16" s="9" t="s">
        <v>100</v>
      </c>
      <c r="D16" s="9" t="s">
        <v>101</v>
      </c>
      <c r="E16" s="10"/>
      <c r="F16" s="10"/>
      <c r="G16" s="11">
        <f>SUMIFS($G$2:$G$455,$A$2:$A$455,"010.020.*",$B$2:$B$455,"Sottoconto")</f>
        <v>50000</v>
      </c>
      <c r="H16" s="11">
        <f>SUMIFS($H$2:$H$455,$A$2:$A$455,"010.020.*",$B$2:$B$455,"Sottoconto")</f>
        <v>25000</v>
      </c>
      <c r="I16" s="9"/>
    </row>
    <row r="17" spans="1:9" x14ac:dyDescent="0.35">
      <c r="A17" s="12" t="s">
        <v>102</v>
      </c>
      <c r="B17" s="13" t="s">
        <v>67</v>
      </c>
      <c r="C17" s="12" t="s">
        <v>103</v>
      </c>
      <c r="D17" s="12" t="s">
        <v>101</v>
      </c>
      <c r="E17" s="13" t="s">
        <v>61</v>
      </c>
      <c r="F17" s="13" t="s">
        <v>69</v>
      </c>
      <c r="G17" s="14">
        <v>50000</v>
      </c>
      <c r="H17" s="14">
        <v>0</v>
      </c>
      <c r="I17" s="12"/>
    </row>
    <row r="18" spans="1:9" x14ac:dyDescent="0.35">
      <c r="A18" s="12" t="s">
        <v>104</v>
      </c>
      <c r="B18" s="13" t="s">
        <v>67</v>
      </c>
      <c r="C18" s="12" t="s">
        <v>105</v>
      </c>
      <c r="D18" s="12" t="s">
        <v>101</v>
      </c>
      <c r="E18" s="13" t="s">
        <v>61</v>
      </c>
      <c r="F18" s="13" t="s">
        <v>69</v>
      </c>
      <c r="G18" s="14">
        <v>0</v>
      </c>
      <c r="H18" s="14">
        <v>0</v>
      </c>
      <c r="I18" s="12"/>
    </row>
    <row r="19" spans="1:9" x14ac:dyDescent="0.35">
      <c r="A19" s="12" t="s">
        <v>106</v>
      </c>
      <c r="B19" s="13" t="s">
        <v>67</v>
      </c>
      <c r="C19" s="12" t="s">
        <v>107</v>
      </c>
      <c r="D19" s="12" t="s">
        <v>101</v>
      </c>
      <c r="E19" s="13" t="s">
        <v>61</v>
      </c>
      <c r="F19" s="13" t="s">
        <v>69</v>
      </c>
      <c r="G19" s="14">
        <v>0</v>
      </c>
      <c r="H19" s="14">
        <v>0</v>
      </c>
      <c r="I19" s="12"/>
    </row>
    <row r="20" spans="1:9" x14ac:dyDescent="0.35">
      <c r="A20" s="12" t="s">
        <v>108</v>
      </c>
      <c r="B20" s="13" t="s">
        <v>67</v>
      </c>
      <c r="C20" s="12" t="s">
        <v>109</v>
      </c>
      <c r="D20" s="12" t="s">
        <v>101</v>
      </c>
      <c r="E20" s="13" t="s">
        <v>75</v>
      </c>
      <c r="F20" s="13" t="s">
        <v>76</v>
      </c>
      <c r="G20" s="14">
        <v>0</v>
      </c>
      <c r="H20" s="14">
        <v>25000</v>
      </c>
      <c r="I20" s="12"/>
    </row>
    <row r="21" spans="1:9" x14ac:dyDescent="0.35">
      <c r="A21" s="12" t="s">
        <v>110</v>
      </c>
      <c r="B21" s="13" t="s">
        <v>67</v>
      </c>
      <c r="C21" s="12" t="s">
        <v>111</v>
      </c>
      <c r="D21" s="12" t="s">
        <v>101</v>
      </c>
      <c r="E21" s="13" t="s">
        <v>75</v>
      </c>
      <c r="F21" s="13" t="s">
        <v>76</v>
      </c>
      <c r="G21" s="14">
        <v>0</v>
      </c>
      <c r="H21" s="14">
        <v>0</v>
      </c>
      <c r="I21" s="12"/>
    </row>
    <row r="22" spans="1:9" x14ac:dyDescent="0.35">
      <c r="A22" s="12" t="s">
        <v>112</v>
      </c>
      <c r="B22" s="13" t="s">
        <v>67</v>
      </c>
      <c r="C22" s="12" t="s">
        <v>113</v>
      </c>
      <c r="D22" s="12" t="s">
        <v>101</v>
      </c>
      <c r="E22" s="13" t="s">
        <v>75</v>
      </c>
      <c r="F22" s="13" t="s">
        <v>76</v>
      </c>
      <c r="G22" s="14">
        <v>0</v>
      </c>
      <c r="H22" s="14">
        <v>0</v>
      </c>
      <c r="I22" s="12"/>
    </row>
    <row r="23" spans="1:9" x14ac:dyDescent="0.35">
      <c r="A23" s="9" t="s">
        <v>114</v>
      </c>
      <c r="B23" s="10" t="s">
        <v>63</v>
      </c>
      <c r="C23" s="9" t="s">
        <v>115</v>
      </c>
      <c r="D23" s="9" t="s">
        <v>116</v>
      </c>
      <c r="E23" s="10"/>
      <c r="F23" s="10"/>
      <c r="G23" s="11">
        <f>SUMIFS($G$2:$G$455,$A$2:$A$455,"010.025.*",$B$2:$B$455,"Sottoconto")</f>
        <v>100000</v>
      </c>
      <c r="H23" s="11">
        <f>SUMIFS($H$2:$H$455,$A$2:$A$455,"010.025.*",$B$2:$B$455,"Sottoconto")</f>
        <v>60000</v>
      </c>
      <c r="I23" s="9"/>
    </row>
    <row r="24" spans="1:9" x14ac:dyDescent="0.35">
      <c r="A24" s="12" t="s">
        <v>117</v>
      </c>
      <c r="B24" s="13" t="s">
        <v>67</v>
      </c>
      <c r="C24" s="12" t="s">
        <v>115</v>
      </c>
      <c r="D24" s="12" t="s">
        <v>116</v>
      </c>
      <c r="E24" s="13" t="s">
        <v>61</v>
      </c>
      <c r="F24" s="13" t="s">
        <v>69</v>
      </c>
      <c r="G24" s="14">
        <v>100000</v>
      </c>
      <c r="H24" s="14">
        <v>0</v>
      </c>
      <c r="I24" s="15" t="s">
        <v>118</v>
      </c>
    </row>
    <row r="25" spans="1:9" x14ac:dyDescent="0.35">
      <c r="A25" s="12" t="s">
        <v>119</v>
      </c>
      <c r="B25" s="13" t="s">
        <v>67</v>
      </c>
      <c r="C25" s="12" t="s">
        <v>120</v>
      </c>
      <c r="D25" s="12" t="s">
        <v>116</v>
      </c>
      <c r="E25" s="13" t="s">
        <v>75</v>
      </c>
      <c r="F25" s="13" t="s">
        <v>76</v>
      </c>
      <c r="G25" s="14">
        <v>0</v>
      </c>
      <c r="H25" s="14">
        <v>60000</v>
      </c>
      <c r="I25" s="15" t="s">
        <v>121</v>
      </c>
    </row>
    <row r="26" spans="1:9" x14ac:dyDescent="0.35">
      <c r="A26" s="9" t="s">
        <v>122</v>
      </c>
      <c r="B26" s="10" t="s">
        <v>63</v>
      </c>
      <c r="C26" s="9" t="s">
        <v>123</v>
      </c>
      <c r="D26" s="9" t="s">
        <v>124</v>
      </c>
      <c r="E26" s="10"/>
      <c r="F26" s="10"/>
      <c r="G26" s="11">
        <f>SUMIFS($G$2:$G$455,$A$2:$A$455,"010.030.*",$B$2:$B$455,"Sottoconto")</f>
        <v>0</v>
      </c>
      <c r="H26" s="11">
        <f>SUMIFS($H$2:$H$455,$A$2:$A$455,"010.030.*",$B$2:$B$455,"Sottoconto")</f>
        <v>0</v>
      </c>
      <c r="I26" s="9"/>
    </row>
    <row r="27" spans="1:9" x14ac:dyDescent="0.35">
      <c r="A27" s="12" t="s">
        <v>125</v>
      </c>
      <c r="B27" s="13" t="s">
        <v>67</v>
      </c>
      <c r="C27" s="12" t="s">
        <v>126</v>
      </c>
      <c r="D27" s="12" t="s">
        <v>124</v>
      </c>
      <c r="E27" s="13" t="s">
        <v>61</v>
      </c>
      <c r="F27" s="13" t="s">
        <v>69</v>
      </c>
      <c r="G27" s="14">
        <v>0</v>
      </c>
      <c r="H27" s="14">
        <v>0</v>
      </c>
      <c r="I27" s="12"/>
    </row>
    <row r="28" spans="1:9" x14ac:dyDescent="0.35">
      <c r="A28" s="12" t="s">
        <v>127</v>
      </c>
      <c r="B28" s="13" t="s">
        <v>67</v>
      </c>
      <c r="C28" s="12" t="s">
        <v>128</v>
      </c>
      <c r="D28" s="12" t="s">
        <v>124</v>
      </c>
      <c r="E28" s="13" t="s">
        <v>61</v>
      </c>
      <c r="F28" s="13" t="s">
        <v>69</v>
      </c>
      <c r="G28" s="14">
        <v>0</v>
      </c>
      <c r="H28" s="14">
        <v>0</v>
      </c>
      <c r="I28" s="12"/>
    </row>
    <row r="29" spans="1:9" x14ac:dyDescent="0.35">
      <c r="A29" s="9" t="s">
        <v>129</v>
      </c>
      <c r="B29" s="10" t="s">
        <v>63</v>
      </c>
      <c r="C29" s="9" t="s">
        <v>130</v>
      </c>
      <c r="D29" s="9" t="s">
        <v>131</v>
      </c>
      <c r="E29" s="10"/>
      <c r="F29" s="10"/>
      <c r="G29" s="11">
        <f>SUMIFS($G$2:$G$455,$A$2:$A$455,"010.035.*",$B$2:$B$455,"Sottoconto")</f>
        <v>40000</v>
      </c>
      <c r="H29" s="11">
        <f>SUMIFS($H$2:$H$455,$A$2:$A$455,"010.035.*",$B$2:$B$455,"Sottoconto")</f>
        <v>16000</v>
      </c>
      <c r="I29" s="9"/>
    </row>
    <row r="30" spans="1:9" x14ac:dyDescent="0.35">
      <c r="A30" s="12" t="s">
        <v>132</v>
      </c>
      <c r="B30" s="13" t="s">
        <v>67</v>
      </c>
      <c r="C30" s="12" t="s">
        <v>133</v>
      </c>
      <c r="D30" s="12" t="s">
        <v>131</v>
      </c>
      <c r="E30" s="13" t="s">
        <v>61</v>
      </c>
      <c r="F30" s="13" t="s">
        <v>69</v>
      </c>
      <c r="G30" s="14">
        <v>40000</v>
      </c>
      <c r="H30" s="14">
        <v>0</v>
      </c>
      <c r="I30" s="15" t="s">
        <v>134</v>
      </c>
    </row>
    <row r="31" spans="1:9" x14ac:dyDescent="0.35">
      <c r="A31" s="12" t="s">
        <v>135</v>
      </c>
      <c r="B31" s="13" t="s">
        <v>67</v>
      </c>
      <c r="C31" s="12" t="s">
        <v>136</v>
      </c>
      <c r="D31" s="12" t="s">
        <v>131</v>
      </c>
      <c r="E31" s="13" t="s">
        <v>61</v>
      </c>
      <c r="F31" s="13" t="s">
        <v>69</v>
      </c>
      <c r="G31" s="14">
        <v>0</v>
      </c>
      <c r="H31" s="14">
        <v>0</v>
      </c>
      <c r="I31" s="12"/>
    </row>
    <row r="32" spans="1:9" x14ac:dyDescent="0.35">
      <c r="A32" s="12" t="s">
        <v>137</v>
      </c>
      <c r="B32" s="13" t="s">
        <v>67</v>
      </c>
      <c r="C32" s="12" t="s">
        <v>138</v>
      </c>
      <c r="D32" s="12" t="s">
        <v>131</v>
      </c>
      <c r="E32" s="13" t="s">
        <v>75</v>
      </c>
      <c r="F32" s="13" t="s">
        <v>76</v>
      </c>
      <c r="G32" s="14">
        <v>0</v>
      </c>
      <c r="H32" s="14">
        <v>16000</v>
      </c>
      <c r="I32" s="12"/>
    </row>
    <row r="33" spans="1:9" x14ac:dyDescent="0.35">
      <c r="A33" s="12" t="s">
        <v>139</v>
      </c>
      <c r="B33" s="13" t="s">
        <v>67</v>
      </c>
      <c r="C33" s="12" t="s">
        <v>140</v>
      </c>
      <c r="D33" s="12" t="s">
        <v>131</v>
      </c>
      <c r="E33" s="13" t="s">
        <v>75</v>
      </c>
      <c r="F33" s="13" t="s">
        <v>76</v>
      </c>
      <c r="G33" s="14">
        <v>0</v>
      </c>
      <c r="H33" s="14">
        <v>0</v>
      </c>
      <c r="I33" s="12"/>
    </row>
    <row r="34" spans="1:9" x14ac:dyDescent="0.35">
      <c r="A34" s="6" t="s">
        <v>141</v>
      </c>
      <c r="B34" s="7" t="s">
        <v>58</v>
      </c>
      <c r="C34" s="6" t="s">
        <v>142</v>
      </c>
      <c r="D34" s="6" t="s">
        <v>143</v>
      </c>
      <c r="E34" s="7" t="s">
        <v>61</v>
      </c>
      <c r="F34" s="7"/>
      <c r="G34" s="8">
        <f>SUMIFS($G$2:$G$455,$A$2:$A$455,"020.*",$B$2:$B$455,"Sottoconto")</f>
        <v>1825000</v>
      </c>
      <c r="H34" s="8">
        <f>SUMIFS($H$2:$H$455,$A$2:$A$455,"020.*",$B$2:$B$455,"Sottoconto")</f>
        <v>736500</v>
      </c>
      <c r="I34" s="6"/>
    </row>
    <row r="35" spans="1:9" x14ac:dyDescent="0.35">
      <c r="A35" s="9" t="s">
        <v>144</v>
      </c>
      <c r="B35" s="10" t="s">
        <v>63</v>
      </c>
      <c r="C35" s="9" t="s">
        <v>145</v>
      </c>
      <c r="D35" s="9" t="s">
        <v>146</v>
      </c>
      <c r="E35" s="10"/>
      <c r="F35" s="10"/>
      <c r="G35" s="11">
        <f>SUMIFS($G$2:$G$455,$A$2:$A$455,"020.005.*",$B$2:$B$455,"Sottoconto")</f>
        <v>800000</v>
      </c>
      <c r="H35" s="11">
        <f>SUMIFS($H$2:$H$455,$A$2:$A$455,"020.005.*",$B$2:$B$455,"Sottoconto")</f>
        <v>240000</v>
      </c>
      <c r="I35" s="9"/>
    </row>
    <row r="36" spans="1:9" x14ac:dyDescent="0.35">
      <c r="A36" s="12" t="s">
        <v>147</v>
      </c>
      <c r="B36" s="13" t="s">
        <v>67</v>
      </c>
      <c r="C36" s="12" t="s">
        <v>148</v>
      </c>
      <c r="D36" s="12" t="s">
        <v>146</v>
      </c>
      <c r="E36" s="13" t="s">
        <v>61</v>
      </c>
      <c r="F36" s="13" t="s">
        <v>69</v>
      </c>
      <c r="G36" s="14">
        <v>200000</v>
      </c>
      <c r="H36" s="14">
        <v>0</v>
      </c>
      <c r="I36" s="15" t="s">
        <v>149</v>
      </c>
    </row>
    <row r="37" spans="1:9" x14ac:dyDescent="0.35">
      <c r="A37" s="12" t="s">
        <v>150</v>
      </c>
      <c r="B37" s="13" t="s">
        <v>67</v>
      </c>
      <c r="C37" s="12" t="s">
        <v>151</v>
      </c>
      <c r="D37" s="12" t="s">
        <v>146</v>
      </c>
      <c r="E37" s="13" t="s">
        <v>61</v>
      </c>
      <c r="F37" s="13" t="s">
        <v>69</v>
      </c>
      <c r="G37" s="14">
        <v>600000</v>
      </c>
      <c r="H37" s="14">
        <v>0</v>
      </c>
      <c r="I37" s="12"/>
    </row>
    <row r="38" spans="1:9" x14ac:dyDescent="0.35">
      <c r="A38" s="12" t="s">
        <v>152</v>
      </c>
      <c r="B38" s="13" t="s">
        <v>67</v>
      </c>
      <c r="C38" s="12" t="s">
        <v>153</v>
      </c>
      <c r="D38" s="12" t="s">
        <v>146</v>
      </c>
      <c r="E38" s="13" t="s">
        <v>61</v>
      </c>
      <c r="F38" s="13" t="s">
        <v>69</v>
      </c>
      <c r="G38" s="14">
        <v>0</v>
      </c>
      <c r="H38" s="14">
        <v>0</v>
      </c>
      <c r="I38" s="12"/>
    </row>
    <row r="39" spans="1:9" x14ac:dyDescent="0.35">
      <c r="A39" s="12" t="s">
        <v>154</v>
      </c>
      <c r="B39" s="13" t="s">
        <v>67</v>
      </c>
      <c r="C39" s="12" t="s">
        <v>155</v>
      </c>
      <c r="D39" s="12" t="s">
        <v>146</v>
      </c>
      <c r="E39" s="13" t="s">
        <v>61</v>
      </c>
      <c r="F39" s="13" t="s">
        <v>69</v>
      </c>
      <c r="G39" s="14">
        <v>0</v>
      </c>
      <c r="H39" s="14">
        <v>0</v>
      </c>
      <c r="I39" s="12"/>
    </row>
    <row r="40" spans="1:9" x14ac:dyDescent="0.35">
      <c r="A40" s="12" t="s">
        <v>156</v>
      </c>
      <c r="B40" s="13" t="s">
        <v>67</v>
      </c>
      <c r="C40" s="12" t="s">
        <v>157</v>
      </c>
      <c r="D40" s="12" t="s">
        <v>146</v>
      </c>
      <c r="E40" s="13" t="s">
        <v>75</v>
      </c>
      <c r="F40" s="13" t="s">
        <v>76</v>
      </c>
      <c r="G40" s="14">
        <v>0</v>
      </c>
      <c r="H40" s="14">
        <v>240000</v>
      </c>
      <c r="I40" s="12"/>
    </row>
    <row r="41" spans="1:9" x14ac:dyDescent="0.35">
      <c r="A41" s="12" t="s">
        <v>158</v>
      </c>
      <c r="B41" s="13" t="s">
        <v>67</v>
      </c>
      <c r="C41" s="12" t="s">
        <v>159</v>
      </c>
      <c r="D41" s="12" t="s">
        <v>146</v>
      </c>
      <c r="E41" s="13" t="s">
        <v>75</v>
      </c>
      <c r="F41" s="13" t="s">
        <v>76</v>
      </c>
      <c r="G41" s="14">
        <v>0</v>
      </c>
      <c r="H41" s="14">
        <v>0</v>
      </c>
      <c r="I41" s="12"/>
    </row>
    <row r="42" spans="1:9" x14ac:dyDescent="0.35">
      <c r="A42" s="12" t="s">
        <v>160</v>
      </c>
      <c r="B42" s="13" t="s">
        <v>67</v>
      </c>
      <c r="C42" s="12" t="s">
        <v>161</v>
      </c>
      <c r="D42" s="12" t="s">
        <v>146</v>
      </c>
      <c r="E42" s="13" t="s">
        <v>75</v>
      </c>
      <c r="F42" s="13" t="s">
        <v>76</v>
      </c>
      <c r="G42" s="14">
        <v>0</v>
      </c>
      <c r="H42" s="14">
        <v>0</v>
      </c>
      <c r="I42" s="12"/>
    </row>
    <row r="43" spans="1:9" x14ac:dyDescent="0.35">
      <c r="A43" s="9" t="s">
        <v>162</v>
      </c>
      <c r="B43" s="10" t="s">
        <v>63</v>
      </c>
      <c r="C43" s="9" t="s">
        <v>163</v>
      </c>
      <c r="D43" s="9" t="s">
        <v>164</v>
      </c>
      <c r="E43" s="10"/>
      <c r="F43" s="10"/>
      <c r="G43" s="11">
        <f>SUMIFS($G$2:$G$455,$A$2:$A$455,"020.010.*",$B$2:$B$455,"Sottoconto")</f>
        <v>750000</v>
      </c>
      <c r="H43" s="11">
        <f>SUMIFS($H$2:$H$455,$A$2:$A$455,"020.010.*",$B$2:$B$455,"Sottoconto")</f>
        <v>335000</v>
      </c>
      <c r="I43" s="9"/>
    </row>
    <row r="44" spans="1:9" x14ac:dyDescent="0.35">
      <c r="A44" s="12" t="s">
        <v>165</v>
      </c>
      <c r="B44" s="13" t="s">
        <v>67</v>
      </c>
      <c r="C44" s="12" t="s">
        <v>166</v>
      </c>
      <c r="D44" s="12" t="s">
        <v>164</v>
      </c>
      <c r="E44" s="13" t="s">
        <v>61</v>
      </c>
      <c r="F44" s="13" t="s">
        <v>69</v>
      </c>
      <c r="G44" s="14">
        <v>0</v>
      </c>
      <c r="H44" s="14">
        <v>0</v>
      </c>
      <c r="I44" s="12"/>
    </row>
    <row r="45" spans="1:9" x14ac:dyDescent="0.35">
      <c r="A45" s="12" t="s">
        <v>167</v>
      </c>
      <c r="B45" s="13" t="s">
        <v>67</v>
      </c>
      <c r="C45" s="12" t="s">
        <v>168</v>
      </c>
      <c r="D45" s="12" t="s">
        <v>164</v>
      </c>
      <c r="E45" s="13" t="s">
        <v>61</v>
      </c>
      <c r="F45" s="13" t="s">
        <v>69</v>
      </c>
      <c r="G45" s="14">
        <v>350000</v>
      </c>
      <c r="H45" s="14">
        <v>0</v>
      </c>
      <c r="I45" s="12"/>
    </row>
    <row r="46" spans="1:9" x14ac:dyDescent="0.35">
      <c r="A46" s="12" t="s">
        <v>169</v>
      </c>
      <c r="B46" s="13" t="s">
        <v>67</v>
      </c>
      <c r="C46" s="12" t="s">
        <v>170</v>
      </c>
      <c r="D46" s="12" t="s">
        <v>164</v>
      </c>
      <c r="E46" s="13" t="s">
        <v>61</v>
      </c>
      <c r="F46" s="13" t="s">
        <v>69</v>
      </c>
      <c r="G46" s="14">
        <v>400000</v>
      </c>
      <c r="H46" s="14">
        <v>0</v>
      </c>
      <c r="I46" s="12"/>
    </row>
    <row r="47" spans="1:9" x14ac:dyDescent="0.35">
      <c r="A47" s="12" t="s">
        <v>171</v>
      </c>
      <c r="B47" s="13" t="s">
        <v>67</v>
      </c>
      <c r="C47" s="12" t="s">
        <v>172</v>
      </c>
      <c r="D47" s="12" t="s">
        <v>164</v>
      </c>
      <c r="E47" s="13" t="s">
        <v>61</v>
      </c>
      <c r="F47" s="13" t="s">
        <v>69</v>
      </c>
      <c r="G47" s="14">
        <v>0</v>
      </c>
      <c r="H47" s="14">
        <v>0</v>
      </c>
      <c r="I47" s="12"/>
    </row>
    <row r="48" spans="1:9" x14ac:dyDescent="0.35">
      <c r="A48" s="12" t="s">
        <v>173</v>
      </c>
      <c r="B48" s="13" t="s">
        <v>67</v>
      </c>
      <c r="C48" s="12" t="s">
        <v>174</v>
      </c>
      <c r="D48" s="12" t="s">
        <v>164</v>
      </c>
      <c r="E48" s="13" t="s">
        <v>61</v>
      </c>
      <c r="F48" s="13" t="s">
        <v>69</v>
      </c>
      <c r="G48" s="14">
        <v>0</v>
      </c>
      <c r="H48" s="14">
        <v>0</v>
      </c>
      <c r="I48" s="12"/>
    </row>
    <row r="49" spans="1:9" x14ac:dyDescent="0.35">
      <c r="A49" s="12" t="s">
        <v>175</v>
      </c>
      <c r="B49" s="13" t="s">
        <v>67</v>
      </c>
      <c r="C49" s="12" t="s">
        <v>176</v>
      </c>
      <c r="D49" s="12" t="s">
        <v>164</v>
      </c>
      <c r="E49" s="13" t="s">
        <v>75</v>
      </c>
      <c r="F49" s="13" t="s">
        <v>76</v>
      </c>
      <c r="G49" s="14">
        <v>0</v>
      </c>
      <c r="H49" s="14">
        <v>0</v>
      </c>
      <c r="I49" s="12"/>
    </row>
    <row r="50" spans="1:9" x14ac:dyDescent="0.35">
      <c r="A50" s="12" t="s">
        <v>177</v>
      </c>
      <c r="B50" s="13" t="s">
        <v>67</v>
      </c>
      <c r="C50" s="12" t="s">
        <v>178</v>
      </c>
      <c r="D50" s="12" t="s">
        <v>164</v>
      </c>
      <c r="E50" s="13" t="s">
        <v>75</v>
      </c>
      <c r="F50" s="13" t="s">
        <v>76</v>
      </c>
      <c r="G50" s="14">
        <v>0</v>
      </c>
      <c r="H50" s="14">
        <v>175000</v>
      </c>
      <c r="I50" s="12"/>
    </row>
    <row r="51" spans="1:9" x14ac:dyDescent="0.35">
      <c r="A51" s="12" t="s">
        <v>179</v>
      </c>
      <c r="B51" s="13" t="s">
        <v>67</v>
      </c>
      <c r="C51" s="12" t="s">
        <v>180</v>
      </c>
      <c r="D51" s="12" t="s">
        <v>164</v>
      </c>
      <c r="E51" s="13" t="s">
        <v>75</v>
      </c>
      <c r="F51" s="13" t="s">
        <v>76</v>
      </c>
      <c r="G51" s="14">
        <v>0</v>
      </c>
      <c r="H51" s="14">
        <v>160000</v>
      </c>
      <c r="I51" s="12"/>
    </row>
    <row r="52" spans="1:9" x14ac:dyDescent="0.35">
      <c r="A52" s="12" t="s">
        <v>181</v>
      </c>
      <c r="B52" s="13" t="s">
        <v>67</v>
      </c>
      <c r="C52" s="12" t="s">
        <v>182</v>
      </c>
      <c r="D52" s="12" t="s">
        <v>164</v>
      </c>
      <c r="E52" s="13" t="s">
        <v>75</v>
      </c>
      <c r="F52" s="13" t="s">
        <v>76</v>
      </c>
      <c r="G52" s="14">
        <v>0</v>
      </c>
      <c r="H52" s="14">
        <v>0</v>
      </c>
      <c r="I52" s="12"/>
    </row>
    <row r="53" spans="1:9" x14ac:dyDescent="0.35">
      <c r="A53" s="12" t="s">
        <v>183</v>
      </c>
      <c r="B53" s="13" t="s">
        <v>67</v>
      </c>
      <c r="C53" s="12" t="s">
        <v>184</v>
      </c>
      <c r="D53" s="12" t="s">
        <v>164</v>
      </c>
      <c r="E53" s="13" t="s">
        <v>75</v>
      </c>
      <c r="F53" s="13" t="s">
        <v>76</v>
      </c>
      <c r="G53" s="14">
        <v>0</v>
      </c>
      <c r="H53" s="14">
        <v>0</v>
      </c>
      <c r="I53" s="12"/>
    </row>
    <row r="54" spans="1:9" x14ac:dyDescent="0.35">
      <c r="A54" s="9" t="s">
        <v>185</v>
      </c>
      <c r="B54" s="10" t="s">
        <v>63</v>
      </c>
      <c r="C54" s="9" t="s">
        <v>186</v>
      </c>
      <c r="D54" s="9" t="s">
        <v>187</v>
      </c>
      <c r="E54" s="10"/>
      <c r="F54" s="10"/>
      <c r="G54" s="11">
        <f>SUMIFS($G$2:$G$455,$A$2:$A$455,"020.015.*",$B$2:$B$455,"Sottoconto")</f>
        <v>80000</v>
      </c>
      <c r="H54" s="11">
        <f>SUMIFS($H$2:$H$455,$A$2:$A$455,"020.015.*",$B$2:$B$455,"Sottoconto")</f>
        <v>56000</v>
      </c>
      <c r="I54" s="9"/>
    </row>
    <row r="55" spans="1:9" x14ac:dyDescent="0.35">
      <c r="A55" s="12" t="s">
        <v>188</v>
      </c>
      <c r="B55" s="13" t="s">
        <v>67</v>
      </c>
      <c r="C55" s="12" t="s">
        <v>189</v>
      </c>
      <c r="D55" s="12" t="s">
        <v>187</v>
      </c>
      <c r="E55" s="13" t="s">
        <v>61</v>
      </c>
      <c r="F55" s="13" t="s">
        <v>69</v>
      </c>
      <c r="G55" s="14">
        <v>80000</v>
      </c>
      <c r="H55" s="14">
        <v>0</v>
      </c>
      <c r="I55" s="12"/>
    </row>
    <row r="56" spans="1:9" x14ac:dyDescent="0.35">
      <c r="A56" s="12" t="s">
        <v>190</v>
      </c>
      <c r="B56" s="13" t="s">
        <v>67</v>
      </c>
      <c r="C56" s="12" t="s">
        <v>191</v>
      </c>
      <c r="D56" s="12" t="s">
        <v>187</v>
      </c>
      <c r="E56" s="13" t="s">
        <v>61</v>
      </c>
      <c r="F56" s="13" t="s">
        <v>69</v>
      </c>
      <c r="G56" s="14">
        <v>0</v>
      </c>
      <c r="H56" s="14">
        <v>0</v>
      </c>
      <c r="I56" s="12"/>
    </row>
    <row r="57" spans="1:9" x14ac:dyDescent="0.35">
      <c r="A57" s="12" t="s">
        <v>192</v>
      </c>
      <c r="B57" s="13" t="s">
        <v>67</v>
      </c>
      <c r="C57" s="12" t="s">
        <v>193</v>
      </c>
      <c r="D57" s="12" t="s">
        <v>187</v>
      </c>
      <c r="E57" s="13" t="s">
        <v>61</v>
      </c>
      <c r="F57" s="13" t="s">
        <v>69</v>
      </c>
      <c r="G57" s="14">
        <v>0</v>
      </c>
      <c r="H57" s="14">
        <v>0</v>
      </c>
      <c r="I57" s="12"/>
    </row>
    <row r="58" spans="1:9" x14ac:dyDescent="0.35">
      <c r="A58" s="12" t="s">
        <v>194</v>
      </c>
      <c r="B58" s="13" t="s">
        <v>67</v>
      </c>
      <c r="C58" s="12" t="s">
        <v>195</v>
      </c>
      <c r="D58" s="12" t="s">
        <v>187</v>
      </c>
      <c r="E58" s="13" t="s">
        <v>75</v>
      </c>
      <c r="F58" s="13" t="s">
        <v>76</v>
      </c>
      <c r="G58" s="14">
        <v>0</v>
      </c>
      <c r="H58" s="14">
        <v>56000</v>
      </c>
      <c r="I58" s="12"/>
    </row>
    <row r="59" spans="1:9" x14ac:dyDescent="0.35">
      <c r="A59" s="12" t="s">
        <v>196</v>
      </c>
      <c r="B59" s="13" t="s">
        <v>67</v>
      </c>
      <c r="C59" s="12" t="s">
        <v>197</v>
      </c>
      <c r="D59" s="12" t="s">
        <v>187</v>
      </c>
      <c r="E59" s="13" t="s">
        <v>75</v>
      </c>
      <c r="F59" s="13" t="s">
        <v>76</v>
      </c>
      <c r="G59" s="14">
        <v>0</v>
      </c>
      <c r="H59" s="14">
        <v>0</v>
      </c>
      <c r="I59" s="12"/>
    </row>
    <row r="60" spans="1:9" x14ac:dyDescent="0.35">
      <c r="A60" s="12" t="s">
        <v>198</v>
      </c>
      <c r="B60" s="13" t="s">
        <v>67</v>
      </c>
      <c r="C60" s="12" t="s">
        <v>199</v>
      </c>
      <c r="D60" s="12" t="s">
        <v>187</v>
      </c>
      <c r="E60" s="13" t="s">
        <v>75</v>
      </c>
      <c r="F60" s="13" t="s">
        <v>76</v>
      </c>
      <c r="G60" s="14">
        <v>0</v>
      </c>
      <c r="H60" s="14">
        <v>0</v>
      </c>
      <c r="I60" s="12"/>
    </row>
    <row r="61" spans="1:9" x14ac:dyDescent="0.35">
      <c r="A61" s="9" t="s">
        <v>200</v>
      </c>
      <c r="B61" s="10" t="s">
        <v>63</v>
      </c>
      <c r="C61" s="9" t="s">
        <v>201</v>
      </c>
      <c r="D61" s="9" t="s">
        <v>202</v>
      </c>
      <c r="E61" s="10"/>
      <c r="F61" s="10"/>
      <c r="G61" s="11">
        <f>SUMIFS($G$2:$G$455,$A$2:$A$455,"020.020.*",$B$2:$B$455,"Sottoconto")</f>
        <v>195000</v>
      </c>
      <c r="H61" s="11">
        <f>SUMIFS($H$2:$H$455,$A$2:$A$455,"020.020.*",$B$2:$B$455,"Sottoconto")</f>
        <v>105500</v>
      </c>
      <c r="I61" s="9"/>
    </row>
    <row r="62" spans="1:9" x14ac:dyDescent="0.35">
      <c r="A62" s="12" t="s">
        <v>203</v>
      </c>
      <c r="B62" s="13" t="s">
        <v>67</v>
      </c>
      <c r="C62" s="12" t="s">
        <v>204</v>
      </c>
      <c r="D62" s="12" t="s">
        <v>202</v>
      </c>
      <c r="E62" s="13" t="s">
        <v>61</v>
      </c>
      <c r="F62" s="13" t="s">
        <v>69</v>
      </c>
      <c r="G62" s="14">
        <v>30000</v>
      </c>
      <c r="H62" s="14">
        <v>0</v>
      </c>
      <c r="I62" s="12"/>
    </row>
    <row r="63" spans="1:9" x14ac:dyDescent="0.35">
      <c r="A63" s="12" t="s">
        <v>205</v>
      </c>
      <c r="B63" s="13" t="s">
        <v>67</v>
      </c>
      <c r="C63" s="12" t="s">
        <v>206</v>
      </c>
      <c r="D63" s="12" t="s">
        <v>202</v>
      </c>
      <c r="E63" s="13" t="s">
        <v>61</v>
      </c>
      <c r="F63" s="13" t="s">
        <v>69</v>
      </c>
      <c r="G63" s="14">
        <v>0</v>
      </c>
      <c r="H63" s="14">
        <v>0</v>
      </c>
      <c r="I63" s="12"/>
    </row>
    <row r="64" spans="1:9" x14ac:dyDescent="0.35">
      <c r="A64" s="12" t="s">
        <v>207</v>
      </c>
      <c r="B64" s="13" t="s">
        <v>67</v>
      </c>
      <c r="C64" s="12" t="s">
        <v>208</v>
      </c>
      <c r="D64" s="12" t="s">
        <v>202</v>
      </c>
      <c r="E64" s="13" t="s">
        <v>61</v>
      </c>
      <c r="F64" s="13" t="s">
        <v>69</v>
      </c>
      <c r="G64" s="14">
        <v>25000</v>
      </c>
      <c r="H64" s="14">
        <v>0</v>
      </c>
      <c r="I64" s="12"/>
    </row>
    <row r="65" spans="1:9" x14ac:dyDescent="0.35">
      <c r="A65" s="12" t="s">
        <v>209</v>
      </c>
      <c r="B65" s="13" t="s">
        <v>67</v>
      </c>
      <c r="C65" s="12" t="s">
        <v>210</v>
      </c>
      <c r="D65" s="12" t="s">
        <v>202</v>
      </c>
      <c r="E65" s="13" t="s">
        <v>61</v>
      </c>
      <c r="F65" s="13" t="s">
        <v>69</v>
      </c>
      <c r="G65" s="14">
        <v>60000</v>
      </c>
      <c r="H65" s="14">
        <v>0</v>
      </c>
      <c r="I65" s="15" t="s">
        <v>211</v>
      </c>
    </row>
    <row r="66" spans="1:9" x14ac:dyDescent="0.35">
      <c r="A66" s="12" t="s">
        <v>212</v>
      </c>
      <c r="B66" s="13" t="s">
        <v>67</v>
      </c>
      <c r="C66" s="12" t="s">
        <v>213</v>
      </c>
      <c r="D66" s="12" t="s">
        <v>202</v>
      </c>
      <c r="E66" s="13" t="s">
        <v>61</v>
      </c>
      <c r="F66" s="13" t="s">
        <v>69</v>
      </c>
      <c r="G66" s="14">
        <v>80000</v>
      </c>
      <c r="H66" s="14">
        <v>0</v>
      </c>
      <c r="I66" s="12"/>
    </row>
    <row r="67" spans="1:9" x14ac:dyDescent="0.35">
      <c r="A67" s="12" t="s">
        <v>214</v>
      </c>
      <c r="B67" s="13" t="s">
        <v>67</v>
      </c>
      <c r="C67" s="12" t="s">
        <v>215</v>
      </c>
      <c r="D67" s="12" t="s">
        <v>202</v>
      </c>
      <c r="E67" s="13" t="s">
        <v>61</v>
      </c>
      <c r="F67" s="13" t="s">
        <v>69</v>
      </c>
      <c r="G67" s="14">
        <v>0</v>
      </c>
      <c r="H67" s="14">
        <v>0</v>
      </c>
      <c r="I67" s="15" t="s">
        <v>216</v>
      </c>
    </row>
    <row r="68" spans="1:9" x14ac:dyDescent="0.35">
      <c r="A68" s="12" t="s">
        <v>217</v>
      </c>
      <c r="B68" s="13" t="s">
        <v>67</v>
      </c>
      <c r="C68" s="12" t="s">
        <v>218</v>
      </c>
      <c r="D68" s="12" t="s">
        <v>202</v>
      </c>
      <c r="E68" s="13" t="s">
        <v>61</v>
      </c>
      <c r="F68" s="13" t="s">
        <v>69</v>
      </c>
      <c r="G68" s="14">
        <v>0</v>
      </c>
      <c r="H68" s="14">
        <v>0</v>
      </c>
      <c r="I68" s="15" t="s">
        <v>219</v>
      </c>
    </row>
    <row r="69" spans="1:9" x14ac:dyDescent="0.35">
      <c r="A69" s="12" t="s">
        <v>220</v>
      </c>
      <c r="B69" s="13" t="s">
        <v>67</v>
      </c>
      <c r="C69" s="12" t="s">
        <v>221</v>
      </c>
      <c r="D69" s="12" t="s">
        <v>202</v>
      </c>
      <c r="E69" s="13" t="s">
        <v>75</v>
      </c>
      <c r="F69" s="13" t="s">
        <v>76</v>
      </c>
      <c r="G69" s="14">
        <v>0</v>
      </c>
      <c r="H69" s="14">
        <v>18000</v>
      </c>
      <c r="I69" s="12"/>
    </row>
    <row r="70" spans="1:9" x14ac:dyDescent="0.35">
      <c r="A70" s="12" t="s">
        <v>222</v>
      </c>
      <c r="B70" s="13" t="s">
        <v>67</v>
      </c>
      <c r="C70" s="12" t="s">
        <v>223</v>
      </c>
      <c r="D70" s="12" t="s">
        <v>202</v>
      </c>
      <c r="E70" s="13" t="s">
        <v>75</v>
      </c>
      <c r="F70" s="13" t="s">
        <v>76</v>
      </c>
      <c r="G70" s="14">
        <v>0</v>
      </c>
      <c r="H70" s="14">
        <v>0</v>
      </c>
      <c r="I70" s="12"/>
    </row>
    <row r="71" spans="1:9" x14ac:dyDescent="0.35">
      <c r="A71" s="12" t="s">
        <v>224</v>
      </c>
      <c r="B71" s="13" t="s">
        <v>67</v>
      </c>
      <c r="C71" s="12" t="s">
        <v>225</v>
      </c>
      <c r="D71" s="12" t="s">
        <v>202</v>
      </c>
      <c r="E71" s="13" t="s">
        <v>75</v>
      </c>
      <c r="F71" s="13" t="s">
        <v>76</v>
      </c>
      <c r="G71" s="14">
        <v>0</v>
      </c>
      <c r="H71" s="14">
        <v>17500</v>
      </c>
      <c r="I71" s="12"/>
    </row>
    <row r="72" spans="1:9" x14ac:dyDescent="0.35">
      <c r="A72" s="12" t="s">
        <v>226</v>
      </c>
      <c r="B72" s="13" t="s">
        <v>67</v>
      </c>
      <c r="C72" s="12" t="s">
        <v>227</v>
      </c>
      <c r="D72" s="12" t="s">
        <v>202</v>
      </c>
      <c r="E72" s="13" t="s">
        <v>75</v>
      </c>
      <c r="F72" s="13" t="s">
        <v>76</v>
      </c>
      <c r="G72" s="14">
        <v>0</v>
      </c>
      <c r="H72" s="14">
        <v>30000</v>
      </c>
      <c r="I72" s="12"/>
    </row>
    <row r="73" spans="1:9" x14ac:dyDescent="0.35">
      <c r="A73" s="12" t="s">
        <v>228</v>
      </c>
      <c r="B73" s="13" t="s">
        <v>67</v>
      </c>
      <c r="C73" s="12" t="s">
        <v>229</v>
      </c>
      <c r="D73" s="12" t="s">
        <v>202</v>
      </c>
      <c r="E73" s="13" t="s">
        <v>75</v>
      </c>
      <c r="F73" s="13" t="s">
        <v>76</v>
      </c>
      <c r="G73" s="14">
        <v>0</v>
      </c>
      <c r="H73" s="14">
        <v>40000</v>
      </c>
      <c r="I73" s="12"/>
    </row>
    <row r="74" spans="1:9" x14ac:dyDescent="0.35">
      <c r="A74" s="12" t="s">
        <v>230</v>
      </c>
      <c r="B74" s="13" t="s">
        <v>67</v>
      </c>
      <c r="C74" s="12" t="s">
        <v>231</v>
      </c>
      <c r="D74" s="12" t="s">
        <v>202</v>
      </c>
      <c r="E74" s="13" t="s">
        <v>75</v>
      </c>
      <c r="F74" s="13" t="s">
        <v>76</v>
      </c>
      <c r="G74" s="14">
        <v>0</v>
      </c>
      <c r="H74" s="14">
        <v>0</v>
      </c>
      <c r="I74" s="12"/>
    </row>
    <row r="75" spans="1:9" x14ac:dyDescent="0.35">
      <c r="A75" s="9" t="s">
        <v>232</v>
      </c>
      <c r="B75" s="10" t="s">
        <v>63</v>
      </c>
      <c r="C75" s="9" t="s">
        <v>233</v>
      </c>
      <c r="D75" s="9" t="s">
        <v>234</v>
      </c>
      <c r="E75" s="10"/>
      <c r="F75" s="10"/>
      <c r="G75" s="11">
        <f>SUMIFS($G$2:$G$455,$A$2:$A$455,"020.025.*",$B$2:$B$455,"Sottoconto")</f>
        <v>0</v>
      </c>
      <c r="H75" s="11">
        <f>SUMIFS($H$2:$H$455,$A$2:$A$455,"020.025.*",$B$2:$B$455,"Sottoconto")</f>
        <v>0</v>
      </c>
      <c r="I75" s="9"/>
    </row>
    <row r="76" spans="1:9" x14ac:dyDescent="0.35">
      <c r="A76" s="12" t="s">
        <v>235</v>
      </c>
      <c r="B76" s="13" t="s">
        <v>67</v>
      </c>
      <c r="C76" s="12" t="s">
        <v>236</v>
      </c>
      <c r="D76" s="12" t="s">
        <v>234</v>
      </c>
      <c r="E76" s="13" t="s">
        <v>61</v>
      </c>
      <c r="F76" s="13" t="s">
        <v>69</v>
      </c>
      <c r="G76" s="14">
        <v>0</v>
      </c>
      <c r="H76" s="14">
        <v>0</v>
      </c>
      <c r="I76" s="12"/>
    </row>
    <row r="77" spans="1:9" x14ac:dyDescent="0.35">
      <c r="A77" s="12" t="s">
        <v>237</v>
      </c>
      <c r="B77" s="13" t="s">
        <v>67</v>
      </c>
      <c r="C77" s="12" t="s">
        <v>238</v>
      </c>
      <c r="D77" s="12" t="s">
        <v>234</v>
      </c>
      <c r="E77" s="13" t="s">
        <v>61</v>
      </c>
      <c r="F77" s="13" t="s">
        <v>69</v>
      </c>
      <c r="G77" s="14">
        <v>0</v>
      </c>
      <c r="H77" s="14">
        <v>0</v>
      </c>
      <c r="I77" s="12"/>
    </row>
    <row r="78" spans="1:9" x14ac:dyDescent="0.35">
      <c r="A78" s="6" t="s">
        <v>239</v>
      </c>
      <c r="B78" s="7" t="s">
        <v>58</v>
      </c>
      <c r="C78" s="6" t="s">
        <v>240</v>
      </c>
      <c r="D78" s="6" t="s">
        <v>241</v>
      </c>
      <c r="E78" s="7" t="s">
        <v>61</v>
      </c>
      <c r="F78" s="7"/>
      <c r="G78" s="8">
        <f>SUMIFS($G$2:$G$455,$A$2:$A$455,"030.*",$B$2:$B$455,"Sottoconto")</f>
        <v>25000</v>
      </c>
      <c r="H78" s="8">
        <f>SUMIFS($H$2:$H$455,$A$2:$A$455,"030.*",$B$2:$B$455,"Sottoconto")</f>
        <v>0</v>
      </c>
      <c r="I78" s="6"/>
    </row>
    <row r="79" spans="1:9" x14ac:dyDescent="0.35">
      <c r="A79" s="9" t="s">
        <v>242</v>
      </c>
      <c r="B79" s="10" t="s">
        <v>63</v>
      </c>
      <c r="C79" s="9" t="s">
        <v>243</v>
      </c>
      <c r="D79" s="9" t="s">
        <v>244</v>
      </c>
      <c r="E79" s="10"/>
      <c r="F79" s="10"/>
      <c r="G79" s="11">
        <f>SUMIFS($G$2:$G$455,$A$2:$A$455,"030.005.*",$B$2:$B$455,"Sottoconto")</f>
        <v>25000</v>
      </c>
      <c r="H79" s="11">
        <f>SUMIFS($H$2:$H$455,$A$2:$A$455,"030.005.*",$B$2:$B$455,"Sottoconto")</f>
        <v>0</v>
      </c>
      <c r="I79" s="9"/>
    </row>
    <row r="80" spans="1:9" x14ac:dyDescent="0.35">
      <c r="A80" s="12" t="s">
        <v>245</v>
      </c>
      <c r="B80" s="13" t="s">
        <v>67</v>
      </c>
      <c r="C80" s="12" t="s">
        <v>246</v>
      </c>
      <c r="D80" s="12" t="s">
        <v>247</v>
      </c>
      <c r="E80" s="13" t="s">
        <v>61</v>
      </c>
      <c r="F80" s="13" t="s">
        <v>69</v>
      </c>
      <c r="G80" s="14">
        <v>0</v>
      </c>
      <c r="H80" s="14">
        <v>0</v>
      </c>
      <c r="I80" s="12"/>
    </row>
    <row r="81" spans="1:9" x14ac:dyDescent="0.35">
      <c r="A81" s="12" t="s">
        <v>248</v>
      </c>
      <c r="B81" s="13" t="s">
        <v>67</v>
      </c>
      <c r="C81" s="12" t="s">
        <v>249</v>
      </c>
      <c r="D81" s="12" t="s">
        <v>250</v>
      </c>
      <c r="E81" s="13" t="s">
        <v>61</v>
      </c>
      <c r="F81" s="13" t="s">
        <v>69</v>
      </c>
      <c r="G81" s="14">
        <v>0</v>
      </c>
      <c r="H81" s="14">
        <v>0</v>
      </c>
      <c r="I81" s="12"/>
    </row>
    <row r="82" spans="1:9" x14ac:dyDescent="0.35">
      <c r="A82" s="12" t="s">
        <v>251</v>
      </c>
      <c r="B82" s="13" t="s">
        <v>67</v>
      </c>
      <c r="C82" s="12" t="s">
        <v>252</v>
      </c>
      <c r="D82" s="12" t="s">
        <v>253</v>
      </c>
      <c r="E82" s="13" t="s">
        <v>61</v>
      </c>
      <c r="F82" s="13" t="s">
        <v>69</v>
      </c>
      <c r="G82" s="14">
        <v>0</v>
      </c>
      <c r="H82" s="14">
        <v>0</v>
      </c>
      <c r="I82" s="12"/>
    </row>
    <row r="83" spans="1:9" x14ac:dyDescent="0.35">
      <c r="A83" s="12" t="s">
        <v>254</v>
      </c>
      <c r="B83" s="13" t="s">
        <v>67</v>
      </c>
      <c r="C83" s="12" t="s">
        <v>255</v>
      </c>
      <c r="D83" s="12" t="s">
        <v>256</v>
      </c>
      <c r="E83" s="13" t="s">
        <v>61</v>
      </c>
      <c r="F83" s="13" t="s">
        <v>69</v>
      </c>
      <c r="G83" s="14">
        <v>0</v>
      </c>
      <c r="H83" s="14">
        <v>0</v>
      </c>
      <c r="I83" s="15" t="s">
        <v>257</v>
      </c>
    </row>
    <row r="84" spans="1:9" x14ac:dyDescent="0.35">
      <c r="A84" s="12" t="s">
        <v>258</v>
      </c>
      <c r="B84" s="13" t="s">
        <v>67</v>
      </c>
      <c r="C84" s="12" t="s">
        <v>259</v>
      </c>
      <c r="D84" s="12" t="s">
        <v>260</v>
      </c>
      <c r="E84" s="13" t="s">
        <v>61</v>
      </c>
      <c r="F84" s="13" t="s">
        <v>69</v>
      </c>
      <c r="G84" s="14">
        <v>25000</v>
      </c>
      <c r="H84" s="14">
        <v>0</v>
      </c>
      <c r="I84" s="12"/>
    </row>
    <row r="85" spans="1:9" x14ac:dyDescent="0.35">
      <c r="A85" s="9" t="s">
        <v>261</v>
      </c>
      <c r="B85" s="10" t="s">
        <v>63</v>
      </c>
      <c r="C85" s="9" t="s">
        <v>262</v>
      </c>
      <c r="D85" s="9" t="s">
        <v>263</v>
      </c>
      <c r="E85" s="10"/>
      <c r="F85" s="10"/>
      <c r="G85" s="11">
        <f>SUMIFS($G$2:$G$455,$A$2:$A$455,"030.010.*",$B$2:$B$455,"Sottoconto")</f>
        <v>0</v>
      </c>
      <c r="H85" s="11">
        <f>SUMIFS($H$2:$H$455,$A$2:$A$455,"030.010.*",$B$2:$B$455,"Sottoconto")</f>
        <v>0</v>
      </c>
      <c r="I85" s="16" t="s">
        <v>264</v>
      </c>
    </row>
    <row r="86" spans="1:9" x14ac:dyDescent="0.35">
      <c r="A86" s="12" t="s">
        <v>265</v>
      </c>
      <c r="B86" s="13" t="s">
        <v>67</v>
      </c>
      <c r="C86" s="12" t="s">
        <v>266</v>
      </c>
      <c r="D86" s="12" t="s">
        <v>267</v>
      </c>
      <c r="E86" s="13" t="s">
        <v>61</v>
      </c>
      <c r="F86" s="13" t="s">
        <v>69</v>
      </c>
      <c r="G86" s="14">
        <v>0</v>
      </c>
      <c r="H86" s="14">
        <v>0</v>
      </c>
      <c r="I86" s="12"/>
    </row>
    <row r="87" spans="1:9" x14ac:dyDescent="0.35">
      <c r="A87" s="12" t="s">
        <v>268</v>
      </c>
      <c r="B87" s="13" t="s">
        <v>67</v>
      </c>
      <c r="C87" s="12" t="s">
        <v>269</v>
      </c>
      <c r="D87" s="12" t="s">
        <v>270</v>
      </c>
      <c r="E87" s="13" t="s">
        <v>61</v>
      </c>
      <c r="F87" s="13" t="s">
        <v>69</v>
      </c>
      <c r="G87" s="14">
        <v>0</v>
      </c>
      <c r="H87" s="14">
        <v>0</v>
      </c>
      <c r="I87" s="12"/>
    </row>
    <row r="88" spans="1:9" x14ac:dyDescent="0.35">
      <c r="A88" s="12" t="s">
        <v>271</v>
      </c>
      <c r="B88" s="13" t="s">
        <v>67</v>
      </c>
      <c r="C88" s="12" t="s">
        <v>272</v>
      </c>
      <c r="D88" s="12" t="s">
        <v>273</v>
      </c>
      <c r="E88" s="13" t="s">
        <v>61</v>
      </c>
      <c r="F88" s="13" t="s">
        <v>69</v>
      </c>
      <c r="G88" s="14">
        <v>0</v>
      </c>
      <c r="H88" s="14">
        <v>0</v>
      </c>
      <c r="I88" s="12"/>
    </row>
    <row r="89" spans="1:9" x14ac:dyDescent="0.35">
      <c r="A89" s="12" t="s">
        <v>274</v>
      </c>
      <c r="B89" s="13" t="s">
        <v>67</v>
      </c>
      <c r="C89" s="12" t="s">
        <v>275</v>
      </c>
      <c r="D89" s="12" t="s">
        <v>276</v>
      </c>
      <c r="E89" s="13" t="s">
        <v>61</v>
      </c>
      <c r="F89" s="13" t="s">
        <v>69</v>
      </c>
      <c r="G89" s="14">
        <v>0</v>
      </c>
      <c r="H89" s="14">
        <v>0</v>
      </c>
      <c r="I89" s="12"/>
    </row>
    <row r="90" spans="1:9" x14ac:dyDescent="0.35">
      <c r="A90" s="12" t="s">
        <v>277</v>
      </c>
      <c r="B90" s="13" t="s">
        <v>67</v>
      </c>
      <c r="C90" s="12" t="s">
        <v>278</v>
      </c>
      <c r="D90" s="12" t="s">
        <v>279</v>
      </c>
      <c r="E90" s="13" t="s">
        <v>61</v>
      </c>
      <c r="F90" s="13" t="s">
        <v>69</v>
      </c>
      <c r="G90" s="14">
        <v>0</v>
      </c>
      <c r="H90" s="14">
        <v>0</v>
      </c>
      <c r="I90" s="12"/>
    </row>
    <row r="91" spans="1:9" x14ac:dyDescent="0.35">
      <c r="A91" s="9" t="s">
        <v>280</v>
      </c>
      <c r="B91" s="10" t="s">
        <v>63</v>
      </c>
      <c r="C91" s="9" t="s">
        <v>281</v>
      </c>
      <c r="D91" s="9" t="s">
        <v>282</v>
      </c>
      <c r="E91" s="10"/>
      <c r="F91" s="10"/>
      <c r="G91" s="11">
        <f>SUMIFS($G$2:$G$455,$A$2:$A$455,"030.015.*",$B$2:$B$455,"Sottoconto")</f>
        <v>0</v>
      </c>
      <c r="H91" s="11">
        <f>SUMIFS($H$2:$H$455,$A$2:$A$455,"030.015.*",$B$2:$B$455,"Sottoconto")</f>
        <v>0</v>
      </c>
      <c r="I91" s="9"/>
    </row>
    <row r="92" spans="1:9" x14ac:dyDescent="0.35">
      <c r="A92" s="12" t="s">
        <v>283</v>
      </c>
      <c r="B92" s="13" t="s">
        <v>67</v>
      </c>
      <c r="C92" s="12" t="s">
        <v>284</v>
      </c>
      <c r="D92" s="12" t="s">
        <v>282</v>
      </c>
      <c r="E92" s="13" t="s">
        <v>61</v>
      </c>
      <c r="F92" s="13" t="s">
        <v>69</v>
      </c>
      <c r="G92" s="14">
        <v>0</v>
      </c>
      <c r="H92" s="14">
        <v>0</v>
      </c>
      <c r="I92" s="12"/>
    </row>
    <row r="93" spans="1:9" x14ac:dyDescent="0.35">
      <c r="A93" s="9" t="s">
        <v>285</v>
      </c>
      <c r="B93" s="10" t="s">
        <v>63</v>
      </c>
      <c r="C93" s="9" t="s">
        <v>286</v>
      </c>
      <c r="D93" s="9" t="s">
        <v>287</v>
      </c>
      <c r="E93" s="10"/>
      <c r="F93" s="10"/>
      <c r="G93" s="11">
        <f>SUMIFS($G$2:$G$455,$A$2:$A$455,"030.020.*",$B$2:$B$455,"Sottoconto")</f>
        <v>0</v>
      </c>
      <c r="H93" s="11">
        <f>SUMIFS($H$2:$H$455,$A$2:$A$455,"030.020.*",$B$2:$B$455,"Sottoconto")</f>
        <v>0</v>
      </c>
      <c r="I93" s="16" t="s">
        <v>257</v>
      </c>
    </row>
    <row r="94" spans="1:9" x14ac:dyDescent="0.35">
      <c r="A94" s="12" t="s">
        <v>288</v>
      </c>
      <c r="B94" s="13" t="s">
        <v>67</v>
      </c>
      <c r="C94" s="12" t="s">
        <v>289</v>
      </c>
      <c r="D94" s="12" t="s">
        <v>287</v>
      </c>
      <c r="E94" s="13" t="s">
        <v>61</v>
      </c>
      <c r="F94" s="13" t="s">
        <v>69</v>
      </c>
      <c r="G94" s="14">
        <v>0</v>
      </c>
      <c r="H94" s="14">
        <v>0</v>
      </c>
      <c r="I94" s="12"/>
    </row>
    <row r="95" spans="1:9" x14ac:dyDescent="0.35">
      <c r="A95" s="6" t="s">
        <v>290</v>
      </c>
      <c r="B95" s="7" t="s">
        <v>58</v>
      </c>
      <c r="C95" s="6" t="s">
        <v>291</v>
      </c>
      <c r="D95" s="6" t="s">
        <v>292</v>
      </c>
      <c r="E95" s="7" t="s">
        <v>61</v>
      </c>
      <c r="F95" s="7"/>
      <c r="G95" s="8">
        <f>SUMIFS($G$2:$G$455,$A$2:$A$455,"040.*",$B$2:$B$455,"Sottoconto")</f>
        <v>390000</v>
      </c>
      <c r="H95" s="8">
        <f>SUMIFS($H$2:$H$455,$A$2:$A$455,"040.*",$B$2:$B$455,"Sottoconto")</f>
        <v>0</v>
      </c>
      <c r="I95" s="6"/>
    </row>
    <row r="96" spans="1:9" x14ac:dyDescent="0.35">
      <c r="A96" s="9" t="s">
        <v>293</v>
      </c>
      <c r="B96" s="10" t="s">
        <v>63</v>
      </c>
      <c r="C96" s="9" t="s">
        <v>294</v>
      </c>
      <c r="D96" s="9" t="s">
        <v>295</v>
      </c>
      <c r="E96" s="10"/>
      <c r="F96" s="10"/>
      <c r="G96" s="11">
        <f>SUMIFS($G$2:$G$455,$A$2:$A$455,"040.005.*",$B$2:$B$455,"Sottoconto")</f>
        <v>180000</v>
      </c>
      <c r="H96" s="11">
        <f>SUMIFS($H$2:$H$455,$A$2:$A$455,"040.005.*",$B$2:$B$455,"Sottoconto")</f>
        <v>0</v>
      </c>
      <c r="I96" s="9"/>
    </row>
    <row r="97" spans="1:9" x14ac:dyDescent="0.35">
      <c r="A97" s="12" t="s">
        <v>296</v>
      </c>
      <c r="B97" s="13" t="s">
        <v>67</v>
      </c>
      <c r="C97" s="12" t="s">
        <v>297</v>
      </c>
      <c r="D97" s="12" t="s">
        <v>295</v>
      </c>
      <c r="E97" s="13" t="s">
        <v>61</v>
      </c>
      <c r="F97" s="13" t="s">
        <v>69</v>
      </c>
      <c r="G97" s="14">
        <v>180000</v>
      </c>
      <c r="H97" s="14">
        <v>0</v>
      </c>
      <c r="I97" s="12"/>
    </row>
    <row r="98" spans="1:9" x14ac:dyDescent="0.35">
      <c r="A98" s="12" t="s">
        <v>298</v>
      </c>
      <c r="B98" s="13" t="s">
        <v>67</v>
      </c>
      <c r="C98" s="12" t="s">
        <v>299</v>
      </c>
      <c r="D98" s="12" t="s">
        <v>295</v>
      </c>
      <c r="E98" s="13" t="s">
        <v>61</v>
      </c>
      <c r="F98" s="13" t="s">
        <v>69</v>
      </c>
      <c r="G98" s="14">
        <v>0</v>
      </c>
      <c r="H98" s="14">
        <v>0</v>
      </c>
      <c r="I98" s="12"/>
    </row>
    <row r="99" spans="1:9" x14ac:dyDescent="0.35">
      <c r="A99" s="12" t="s">
        <v>300</v>
      </c>
      <c r="B99" s="13" t="s">
        <v>67</v>
      </c>
      <c r="C99" s="12" t="s">
        <v>301</v>
      </c>
      <c r="D99" s="12" t="s">
        <v>295</v>
      </c>
      <c r="E99" s="13" t="s">
        <v>61</v>
      </c>
      <c r="F99" s="13" t="s">
        <v>69</v>
      </c>
      <c r="G99" s="14">
        <v>0</v>
      </c>
      <c r="H99" s="14">
        <v>0</v>
      </c>
      <c r="I99" s="12"/>
    </row>
    <row r="100" spans="1:9" x14ac:dyDescent="0.35">
      <c r="A100" s="9" t="s">
        <v>302</v>
      </c>
      <c r="B100" s="10" t="s">
        <v>63</v>
      </c>
      <c r="C100" s="9" t="s">
        <v>303</v>
      </c>
      <c r="D100" s="9" t="s">
        <v>304</v>
      </c>
      <c r="E100" s="10"/>
      <c r="F100" s="10"/>
      <c r="G100" s="11">
        <f>SUMIFS($G$2:$G$455,$A$2:$A$455,"040.010.*",$B$2:$B$455,"Sottoconto")</f>
        <v>50000</v>
      </c>
      <c r="H100" s="11">
        <f>SUMIFS($H$2:$H$455,$A$2:$A$455,"040.010.*",$B$2:$B$455,"Sottoconto")</f>
        <v>0</v>
      </c>
      <c r="I100" s="9"/>
    </row>
    <row r="101" spans="1:9" x14ac:dyDescent="0.35">
      <c r="A101" s="12" t="s">
        <v>305</v>
      </c>
      <c r="B101" s="13" t="s">
        <v>67</v>
      </c>
      <c r="C101" s="12" t="s">
        <v>306</v>
      </c>
      <c r="D101" s="12" t="s">
        <v>304</v>
      </c>
      <c r="E101" s="13" t="s">
        <v>61</v>
      </c>
      <c r="F101" s="13" t="s">
        <v>69</v>
      </c>
      <c r="G101" s="14">
        <v>0</v>
      </c>
      <c r="H101" s="14">
        <v>0</v>
      </c>
      <c r="I101" s="12"/>
    </row>
    <row r="102" spans="1:9" x14ac:dyDescent="0.35">
      <c r="A102" s="12" t="s">
        <v>307</v>
      </c>
      <c r="B102" s="13" t="s">
        <v>67</v>
      </c>
      <c r="C102" s="12" t="s">
        <v>308</v>
      </c>
      <c r="D102" s="12" t="s">
        <v>304</v>
      </c>
      <c r="E102" s="13" t="s">
        <v>61</v>
      </c>
      <c r="F102" s="13" t="s">
        <v>69</v>
      </c>
      <c r="G102" s="14">
        <v>50000</v>
      </c>
      <c r="H102" s="14">
        <v>0</v>
      </c>
      <c r="I102" s="12"/>
    </row>
    <row r="103" spans="1:9" x14ac:dyDescent="0.35">
      <c r="A103" s="9" t="s">
        <v>309</v>
      </c>
      <c r="B103" s="10" t="s">
        <v>63</v>
      </c>
      <c r="C103" s="9" t="s">
        <v>310</v>
      </c>
      <c r="D103" s="9" t="s">
        <v>311</v>
      </c>
      <c r="E103" s="10"/>
      <c r="F103" s="10"/>
      <c r="G103" s="11">
        <f>SUMIFS($G$2:$G$455,$A$2:$A$455,"040.015.*",$B$2:$B$455,"Sottoconto")</f>
        <v>0</v>
      </c>
      <c r="H103" s="11">
        <f>SUMIFS($H$2:$H$455,$A$2:$A$455,"040.015.*",$B$2:$B$455,"Sottoconto")</f>
        <v>0</v>
      </c>
      <c r="I103" s="16" t="s">
        <v>312</v>
      </c>
    </row>
    <row r="104" spans="1:9" x14ac:dyDescent="0.35">
      <c r="A104" s="12" t="s">
        <v>313</v>
      </c>
      <c r="B104" s="13" t="s">
        <v>67</v>
      </c>
      <c r="C104" s="12" t="s">
        <v>310</v>
      </c>
      <c r="D104" s="12" t="s">
        <v>311</v>
      </c>
      <c r="E104" s="13" t="s">
        <v>61</v>
      </c>
      <c r="F104" s="13" t="s">
        <v>69</v>
      </c>
      <c r="G104" s="14">
        <v>0</v>
      </c>
      <c r="H104" s="14">
        <v>0</v>
      </c>
      <c r="I104" s="12"/>
    </row>
    <row r="105" spans="1:9" x14ac:dyDescent="0.35">
      <c r="A105" s="9" t="s">
        <v>314</v>
      </c>
      <c r="B105" s="10" t="s">
        <v>63</v>
      </c>
      <c r="C105" s="9" t="s">
        <v>315</v>
      </c>
      <c r="D105" s="9" t="s">
        <v>316</v>
      </c>
      <c r="E105" s="10"/>
      <c r="F105" s="10"/>
      <c r="G105" s="11">
        <f>SUMIFS($G$2:$G$455,$A$2:$A$455,"040.020.*",$B$2:$B$455,"Sottoconto")</f>
        <v>160000</v>
      </c>
      <c r="H105" s="11">
        <f>SUMIFS($H$2:$H$455,$A$2:$A$455,"040.020.*",$B$2:$B$455,"Sottoconto")</f>
        <v>0</v>
      </c>
      <c r="I105" s="9"/>
    </row>
    <row r="106" spans="1:9" x14ac:dyDescent="0.35">
      <c r="A106" s="12" t="s">
        <v>317</v>
      </c>
      <c r="B106" s="13" t="s">
        <v>67</v>
      </c>
      <c r="C106" s="12" t="s">
        <v>318</v>
      </c>
      <c r="D106" s="12" t="s">
        <v>316</v>
      </c>
      <c r="E106" s="13" t="s">
        <v>61</v>
      </c>
      <c r="F106" s="13" t="s">
        <v>69</v>
      </c>
      <c r="G106" s="14">
        <v>120000</v>
      </c>
      <c r="H106" s="14">
        <v>0</v>
      </c>
      <c r="I106" s="12"/>
    </row>
    <row r="107" spans="1:9" x14ac:dyDescent="0.35">
      <c r="A107" s="12" t="s">
        <v>319</v>
      </c>
      <c r="B107" s="13" t="s">
        <v>67</v>
      </c>
      <c r="C107" s="12" t="s">
        <v>320</v>
      </c>
      <c r="D107" s="12" t="s">
        <v>316</v>
      </c>
      <c r="E107" s="13" t="s">
        <v>61</v>
      </c>
      <c r="F107" s="13" t="s">
        <v>69</v>
      </c>
      <c r="G107" s="14">
        <v>40000</v>
      </c>
      <c r="H107" s="14">
        <v>0</v>
      </c>
      <c r="I107" s="12"/>
    </row>
    <row r="108" spans="1:9" x14ac:dyDescent="0.35">
      <c r="A108" s="9" t="s">
        <v>321</v>
      </c>
      <c r="B108" s="10" t="s">
        <v>63</v>
      </c>
      <c r="C108" s="9" t="s">
        <v>322</v>
      </c>
      <c r="D108" s="9" t="s">
        <v>323</v>
      </c>
      <c r="E108" s="10"/>
      <c r="F108" s="10"/>
      <c r="G108" s="11">
        <f>SUMIFS($G$2:$G$455,$A$2:$A$455,"040.025.*",$B$2:$B$455,"Sottoconto")</f>
        <v>0</v>
      </c>
      <c r="H108" s="11">
        <f>SUMIFS($H$2:$H$455,$A$2:$A$455,"040.025.*",$B$2:$B$455,"Sottoconto")</f>
        <v>0</v>
      </c>
      <c r="I108" s="9"/>
    </row>
    <row r="109" spans="1:9" x14ac:dyDescent="0.35">
      <c r="A109" s="12" t="s">
        <v>324</v>
      </c>
      <c r="B109" s="13" t="s">
        <v>67</v>
      </c>
      <c r="C109" s="12" t="s">
        <v>325</v>
      </c>
      <c r="D109" s="12" t="s">
        <v>323</v>
      </c>
      <c r="E109" s="13" t="s">
        <v>61</v>
      </c>
      <c r="F109" s="13" t="s">
        <v>69</v>
      </c>
      <c r="G109" s="14">
        <v>0</v>
      </c>
      <c r="H109" s="14">
        <v>0</v>
      </c>
      <c r="I109" s="12"/>
    </row>
    <row r="110" spans="1:9" x14ac:dyDescent="0.35">
      <c r="A110" s="6" t="s">
        <v>326</v>
      </c>
      <c r="B110" s="7" t="s">
        <v>58</v>
      </c>
      <c r="C110" s="6" t="s">
        <v>327</v>
      </c>
      <c r="D110" s="6" t="s">
        <v>328</v>
      </c>
      <c r="E110" s="7" t="s">
        <v>61</v>
      </c>
      <c r="F110" s="7"/>
      <c r="G110" s="8">
        <f>SUMIFS($G$2:$G$455,$A$2:$A$455,"050.*",$B$2:$B$455,"Sottoconto")</f>
        <v>1157000</v>
      </c>
      <c r="H110" s="8">
        <f>SUMIFS($H$2:$H$455,$A$2:$A$455,"050.*",$B$2:$B$455,"Sottoconto")</f>
        <v>60000</v>
      </c>
      <c r="I110" s="6"/>
    </row>
    <row r="111" spans="1:9" x14ac:dyDescent="0.35">
      <c r="A111" s="9" t="s">
        <v>329</v>
      </c>
      <c r="B111" s="10" t="s">
        <v>63</v>
      </c>
      <c r="C111" s="9" t="s">
        <v>330</v>
      </c>
      <c r="D111" s="9" t="s">
        <v>331</v>
      </c>
      <c r="E111" s="10"/>
      <c r="F111" s="10"/>
      <c r="G111" s="11">
        <f>SUMIFS($G$2:$G$455,$A$2:$A$455,"050.005.*",$B$2:$B$455,"Sottoconto")</f>
        <v>1105000</v>
      </c>
      <c r="H111" s="11">
        <f>SUMIFS($H$2:$H$455,$A$2:$A$455,"050.005.*",$B$2:$B$455,"Sottoconto")</f>
        <v>60000</v>
      </c>
      <c r="I111" s="9"/>
    </row>
    <row r="112" spans="1:9" x14ac:dyDescent="0.35">
      <c r="A112" s="12" t="s">
        <v>332</v>
      </c>
      <c r="B112" s="13" t="s">
        <v>67</v>
      </c>
      <c r="C112" s="12" t="s">
        <v>333</v>
      </c>
      <c r="D112" s="12" t="s">
        <v>331</v>
      </c>
      <c r="E112" s="13" t="s">
        <v>61</v>
      </c>
      <c r="F112" s="13" t="s">
        <v>69</v>
      </c>
      <c r="G112" s="14">
        <v>850000</v>
      </c>
      <c r="H112" s="14">
        <v>0</v>
      </c>
      <c r="I112" s="15" t="s">
        <v>334</v>
      </c>
    </row>
    <row r="113" spans="1:9" x14ac:dyDescent="0.35">
      <c r="A113" s="12" t="s">
        <v>335</v>
      </c>
      <c r="B113" s="13" t="s">
        <v>67</v>
      </c>
      <c r="C113" s="12" t="s">
        <v>336</v>
      </c>
      <c r="D113" s="12" t="s">
        <v>331</v>
      </c>
      <c r="E113" s="13" t="s">
        <v>61</v>
      </c>
      <c r="F113" s="13" t="s">
        <v>69</v>
      </c>
      <c r="G113" s="14">
        <v>120000</v>
      </c>
      <c r="H113" s="14">
        <v>0</v>
      </c>
      <c r="I113" s="12"/>
    </row>
    <row r="114" spans="1:9" x14ac:dyDescent="0.35">
      <c r="A114" s="12" t="s">
        <v>337</v>
      </c>
      <c r="B114" s="13" t="s">
        <v>67</v>
      </c>
      <c r="C114" s="12" t="s">
        <v>338</v>
      </c>
      <c r="D114" s="12" t="s">
        <v>331</v>
      </c>
      <c r="E114" s="13" t="s">
        <v>61</v>
      </c>
      <c r="F114" s="13" t="s">
        <v>69</v>
      </c>
      <c r="G114" s="14">
        <v>60000</v>
      </c>
      <c r="H114" s="14">
        <v>0</v>
      </c>
      <c r="I114" s="12"/>
    </row>
    <row r="115" spans="1:9" x14ac:dyDescent="0.35">
      <c r="A115" s="12" t="s">
        <v>339</v>
      </c>
      <c r="B115" s="13" t="s">
        <v>67</v>
      </c>
      <c r="C115" s="12" t="s">
        <v>340</v>
      </c>
      <c r="D115" s="12" t="s">
        <v>331</v>
      </c>
      <c r="E115" s="13" t="s">
        <v>61</v>
      </c>
      <c r="F115" s="13" t="s">
        <v>69</v>
      </c>
      <c r="G115" s="14">
        <v>0</v>
      </c>
      <c r="H115" s="14">
        <v>0</v>
      </c>
      <c r="I115" s="12"/>
    </row>
    <row r="116" spans="1:9" x14ac:dyDescent="0.35">
      <c r="A116" s="12" t="s">
        <v>341</v>
      </c>
      <c r="B116" s="13" t="s">
        <v>67</v>
      </c>
      <c r="C116" s="12" t="s">
        <v>342</v>
      </c>
      <c r="D116" s="12" t="s">
        <v>331</v>
      </c>
      <c r="E116" s="13" t="s">
        <v>61</v>
      </c>
      <c r="F116" s="13" t="s">
        <v>69</v>
      </c>
      <c r="G116" s="14">
        <v>0</v>
      </c>
      <c r="H116" s="14">
        <v>0</v>
      </c>
      <c r="I116" s="12"/>
    </row>
    <row r="117" spans="1:9" x14ac:dyDescent="0.35">
      <c r="A117" s="12" t="s">
        <v>343</v>
      </c>
      <c r="B117" s="13" t="s">
        <v>67</v>
      </c>
      <c r="C117" s="12" t="s">
        <v>344</v>
      </c>
      <c r="D117" s="12" t="s">
        <v>331</v>
      </c>
      <c r="E117" s="13" t="s">
        <v>61</v>
      </c>
      <c r="F117" s="13" t="s">
        <v>69</v>
      </c>
      <c r="G117" s="14">
        <v>75000</v>
      </c>
      <c r="H117" s="14">
        <v>0</v>
      </c>
      <c r="I117" s="12"/>
    </row>
    <row r="118" spans="1:9" x14ac:dyDescent="0.35">
      <c r="A118" s="12" t="s">
        <v>345</v>
      </c>
      <c r="B118" s="13" t="s">
        <v>67</v>
      </c>
      <c r="C118" s="12" t="s">
        <v>346</v>
      </c>
      <c r="D118" s="12" t="s">
        <v>331</v>
      </c>
      <c r="E118" s="13" t="s">
        <v>61</v>
      </c>
      <c r="F118" s="13" t="s">
        <v>76</v>
      </c>
      <c r="G118" s="14">
        <v>0</v>
      </c>
      <c r="H118" s="14">
        <v>15000</v>
      </c>
      <c r="I118" s="15" t="s">
        <v>55</v>
      </c>
    </row>
    <row r="119" spans="1:9" x14ac:dyDescent="0.35">
      <c r="A119" s="12" t="s">
        <v>347</v>
      </c>
      <c r="B119" s="13" t="s">
        <v>67</v>
      </c>
      <c r="C119" s="12" t="s">
        <v>348</v>
      </c>
      <c r="D119" s="12" t="s">
        <v>331</v>
      </c>
      <c r="E119" s="13" t="s">
        <v>61</v>
      </c>
      <c r="F119" s="13" t="s">
        <v>69</v>
      </c>
      <c r="G119" s="14">
        <v>0</v>
      </c>
      <c r="H119" s="14">
        <v>0</v>
      </c>
      <c r="I119" s="12"/>
    </row>
    <row r="120" spans="1:9" x14ac:dyDescent="0.35">
      <c r="A120" s="12" t="s">
        <v>349</v>
      </c>
      <c r="B120" s="13" t="s">
        <v>67</v>
      </c>
      <c r="C120" s="12" t="s">
        <v>350</v>
      </c>
      <c r="D120" s="12" t="s">
        <v>331</v>
      </c>
      <c r="E120" s="13" t="s">
        <v>75</v>
      </c>
      <c r="F120" s="13" t="s">
        <v>76</v>
      </c>
      <c r="G120" s="14">
        <v>0</v>
      </c>
      <c r="H120" s="14">
        <v>45000</v>
      </c>
      <c r="I120" s="15" t="s">
        <v>351</v>
      </c>
    </row>
    <row r="121" spans="1:9" x14ac:dyDescent="0.35">
      <c r="A121" s="9" t="s">
        <v>352</v>
      </c>
      <c r="B121" s="10" t="s">
        <v>63</v>
      </c>
      <c r="C121" s="9" t="s">
        <v>353</v>
      </c>
      <c r="D121" s="9" t="s">
        <v>354</v>
      </c>
      <c r="E121" s="10"/>
      <c r="F121" s="10"/>
      <c r="G121" s="11">
        <f>SUMIFS($G$2:$G$455,$A$2:$A$455,"050.010.*",$B$2:$B$455,"Sottoconto")</f>
        <v>0</v>
      </c>
      <c r="H121" s="11">
        <f>SUMIFS($H$2:$H$455,$A$2:$A$455,"050.010.*",$B$2:$B$455,"Sottoconto")</f>
        <v>0</v>
      </c>
      <c r="I121" s="16" t="s">
        <v>355</v>
      </c>
    </row>
    <row r="122" spans="1:9" x14ac:dyDescent="0.35">
      <c r="A122" s="12" t="s">
        <v>356</v>
      </c>
      <c r="B122" s="13" t="s">
        <v>67</v>
      </c>
      <c r="C122" s="12" t="s">
        <v>357</v>
      </c>
      <c r="D122" s="12" t="s">
        <v>354</v>
      </c>
      <c r="E122" s="13" t="s">
        <v>61</v>
      </c>
      <c r="F122" s="13" t="s">
        <v>69</v>
      </c>
      <c r="G122" s="14">
        <v>0</v>
      </c>
      <c r="H122" s="14">
        <v>0</v>
      </c>
      <c r="I122" s="12"/>
    </row>
    <row r="123" spans="1:9" x14ac:dyDescent="0.35">
      <c r="A123" s="12" t="s">
        <v>358</v>
      </c>
      <c r="B123" s="13" t="s">
        <v>67</v>
      </c>
      <c r="C123" s="12" t="s">
        <v>359</v>
      </c>
      <c r="D123" s="12" t="s">
        <v>354</v>
      </c>
      <c r="E123" s="13" t="s">
        <v>61</v>
      </c>
      <c r="F123" s="13" t="s">
        <v>69</v>
      </c>
      <c r="G123" s="14">
        <v>0</v>
      </c>
      <c r="H123" s="14">
        <v>0</v>
      </c>
      <c r="I123" s="12"/>
    </row>
    <row r="124" spans="1:9" x14ac:dyDescent="0.35">
      <c r="A124" s="9" t="s">
        <v>360</v>
      </c>
      <c r="B124" s="10" t="s">
        <v>63</v>
      </c>
      <c r="C124" s="9" t="s">
        <v>361</v>
      </c>
      <c r="D124" s="9" t="s">
        <v>362</v>
      </c>
      <c r="E124" s="10"/>
      <c r="F124" s="10"/>
      <c r="G124" s="11">
        <f>SUMIFS($G$2:$G$455,$A$2:$A$455,"050.015.*",$B$2:$B$455,"Sottoconto")</f>
        <v>0</v>
      </c>
      <c r="H124" s="11">
        <f>SUMIFS($H$2:$H$455,$A$2:$A$455,"050.015.*",$B$2:$B$455,"Sottoconto")</f>
        <v>0</v>
      </c>
      <c r="I124" s="9"/>
    </row>
    <row r="125" spans="1:9" x14ac:dyDescent="0.35">
      <c r="A125" s="12" t="s">
        <v>363</v>
      </c>
      <c r="B125" s="13" t="s">
        <v>67</v>
      </c>
      <c r="C125" s="12" t="s">
        <v>364</v>
      </c>
      <c r="D125" s="12" t="s">
        <v>362</v>
      </c>
      <c r="E125" s="13" t="s">
        <v>61</v>
      </c>
      <c r="F125" s="13" t="s">
        <v>69</v>
      </c>
      <c r="G125" s="14">
        <v>0</v>
      </c>
      <c r="H125" s="14">
        <v>0</v>
      </c>
      <c r="I125" s="12"/>
    </row>
    <row r="126" spans="1:9" x14ac:dyDescent="0.35">
      <c r="A126" s="9" t="s">
        <v>365</v>
      </c>
      <c r="B126" s="10" t="s">
        <v>63</v>
      </c>
      <c r="C126" s="9" t="s">
        <v>366</v>
      </c>
      <c r="D126" s="9" t="s">
        <v>367</v>
      </c>
      <c r="E126" s="10"/>
      <c r="F126" s="10"/>
      <c r="G126" s="11">
        <f>SUMIFS($G$2:$G$455,$A$2:$A$455,"050.020.*",$B$2:$B$455,"Sottoconto")</f>
        <v>0</v>
      </c>
      <c r="H126" s="11">
        <f>SUMIFS($H$2:$H$455,$A$2:$A$455,"050.020.*",$B$2:$B$455,"Sottoconto")</f>
        <v>0</v>
      </c>
      <c r="I126" s="9"/>
    </row>
    <row r="127" spans="1:9" x14ac:dyDescent="0.35">
      <c r="A127" s="12" t="s">
        <v>368</v>
      </c>
      <c r="B127" s="13" t="s">
        <v>67</v>
      </c>
      <c r="C127" s="12" t="s">
        <v>369</v>
      </c>
      <c r="D127" s="12" t="s">
        <v>367</v>
      </c>
      <c r="E127" s="13" t="s">
        <v>61</v>
      </c>
      <c r="F127" s="13" t="s">
        <v>69</v>
      </c>
      <c r="G127" s="14">
        <v>0</v>
      </c>
      <c r="H127" s="14">
        <v>0</v>
      </c>
      <c r="I127" s="12"/>
    </row>
    <row r="128" spans="1:9" x14ac:dyDescent="0.35">
      <c r="A128" s="9" t="s">
        <v>370</v>
      </c>
      <c r="B128" s="10" t="s">
        <v>63</v>
      </c>
      <c r="C128" s="9" t="s">
        <v>275</v>
      </c>
      <c r="D128" s="9" t="s">
        <v>371</v>
      </c>
      <c r="E128" s="10"/>
      <c r="F128" s="10"/>
      <c r="G128" s="11">
        <f>SUMIFS($G$2:$G$455,$A$2:$A$455,"050.025.*",$B$2:$B$455,"Sottoconto")</f>
        <v>0</v>
      </c>
      <c r="H128" s="11">
        <f>SUMIFS($H$2:$H$455,$A$2:$A$455,"050.025.*",$B$2:$B$455,"Sottoconto")</f>
        <v>0</v>
      </c>
      <c r="I128" s="16" t="s">
        <v>257</v>
      </c>
    </row>
    <row r="129" spans="1:9" x14ac:dyDescent="0.35">
      <c r="A129" s="12" t="s">
        <v>372</v>
      </c>
      <c r="B129" s="13" t="s">
        <v>67</v>
      </c>
      <c r="C129" s="12" t="s">
        <v>275</v>
      </c>
      <c r="D129" s="12" t="s">
        <v>371</v>
      </c>
      <c r="E129" s="13" t="s">
        <v>61</v>
      </c>
      <c r="F129" s="13" t="s">
        <v>69</v>
      </c>
      <c r="G129" s="14">
        <v>0</v>
      </c>
      <c r="H129" s="14">
        <v>0</v>
      </c>
      <c r="I129" s="12"/>
    </row>
    <row r="130" spans="1:9" x14ac:dyDescent="0.35">
      <c r="A130" s="9" t="s">
        <v>373</v>
      </c>
      <c r="B130" s="10" t="s">
        <v>63</v>
      </c>
      <c r="C130" s="9" t="s">
        <v>374</v>
      </c>
      <c r="D130" s="9" t="s">
        <v>375</v>
      </c>
      <c r="E130" s="10"/>
      <c r="F130" s="10"/>
      <c r="G130" s="11">
        <f>SUMIFS($G$2:$G$455,$A$2:$A$455,"050.030.*",$B$2:$B$455,"Sottoconto")</f>
        <v>23500</v>
      </c>
      <c r="H130" s="11">
        <f>SUMIFS($H$2:$H$455,$A$2:$A$455,"050.030.*",$B$2:$B$455,"Sottoconto")</f>
        <v>0</v>
      </c>
      <c r="I130" s="9"/>
    </row>
    <row r="131" spans="1:9" x14ac:dyDescent="0.35">
      <c r="A131" s="12" t="s">
        <v>376</v>
      </c>
      <c r="B131" s="13" t="s">
        <v>67</v>
      </c>
      <c r="C131" s="12" t="s">
        <v>377</v>
      </c>
      <c r="D131" s="12" t="s">
        <v>375</v>
      </c>
      <c r="E131" s="13" t="s">
        <v>61</v>
      </c>
      <c r="F131" s="13" t="s">
        <v>69</v>
      </c>
      <c r="G131" s="14">
        <v>12000</v>
      </c>
      <c r="H131" s="14">
        <v>0</v>
      </c>
      <c r="I131" s="12"/>
    </row>
    <row r="132" spans="1:9" x14ac:dyDescent="0.35">
      <c r="A132" s="12" t="s">
        <v>378</v>
      </c>
      <c r="B132" s="13" t="s">
        <v>67</v>
      </c>
      <c r="C132" s="12" t="s">
        <v>379</v>
      </c>
      <c r="D132" s="12" t="s">
        <v>375</v>
      </c>
      <c r="E132" s="13" t="s">
        <v>61</v>
      </c>
      <c r="F132" s="13" t="s">
        <v>69</v>
      </c>
      <c r="G132" s="14">
        <v>0</v>
      </c>
      <c r="H132" s="14">
        <v>0</v>
      </c>
      <c r="I132" s="12"/>
    </row>
    <row r="133" spans="1:9" x14ac:dyDescent="0.35">
      <c r="A133" s="12" t="s">
        <v>380</v>
      </c>
      <c r="B133" s="13" t="s">
        <v>67</v>
      </c>
      <c r="C133" s="12" t="s">
        <v>381</v>
      </c>
      <c r="D133" s="12" t="s">
        <v>375</v>
      </c>
      <c r="E133" s="13" t="s">
        <v>61</v>
      </c>
      <c r="F133" s="13" t="s">
        <v>69</v>
      </c>
      <c r="G133" s="14">
        <v>0</v>
      </c>
      <c r="H133" s="14">
        <v>0</v>
      </c>
      <c r="I133" s="12"/>
    </row>
    <row r="134" spans="1:9" x14ac:dyDescent="0.35">
      <c r="A134" s="12" t="s">
        <v>382</v>
      </c>
      <c r="B134" s="13" t="s">
        <v>67</v>
      </c>
      <c r="C134" s="12" t="s">
        <v>383</v>
      </c>
      <c r="D134" s="12" t="s">
        <v>375</v>
      </c>
      <c r="E134" s="13" t="s">
        <v>61</v>
      </c>
      <c r="F134" s="13" t="s">
        <v>69</v>
      </c>
      <c r="G134" s="14">
        <v>3500</v>
      </c>
      <c r="H134" s="14">
        <v>0</v>
      </c>
      <c r="I134" s="12"/>
    </row>
    <row r="135" spans="1:9" x14ac:dyDescent="0.35">
      <c r="A135" s="12" t="s">
        <v>384</v>
      </c>
      <c r="B135" s="13" t="s">
        <v>67</v>
      </c>
      <c r="C135" s="12" t="s">
        <v>385</v>
      </c>
      <c r="D135" s="12" t="s">
        <v>375</v>
      </c>
      <c r="E135" s="13" t="s">
        <v>61</v>
      </c>
      <c r="F135" s="13" t="s">
        <v>69</v>
      </c>
      <c r="G135" s="14">
        <v>8000</v>
      </c>
      <c r="H135" s="14">
        <v>0</v>
      </c>
      <c r="I135" s="15" t="s">
        <v>386</v>
      </c>
    </row>
    <row r="136" spans="1:9" x14ac:dyDescent="0.35">
      <c r="A136" s="12" t="s">
        <v>387</v>
      </c>
      <c r="B136" s="13" t="s">
        <v>67</v>
      </c>
      <c r="C136" s="12" t="s">
        <v>388</v>
      </c>
      <c r="D136" s="12" t="s">
        <v>375</v>
      </c>
      <c r="E136" s="13" t="s">
        <v>61</v>
      </c>
      <c r="F136" s="13" t="s">
        <v>69</v>
      </c>
      <c r="G136" s="14">
        <v>0</v>
      </c>
      <c r="H136" s="14">
        <v>0</v>
      </c>
      <c r="I136" s="12"/>
    </row>
    <row r="137" spans="1:9" x14ac:dyDescent="0.35">
      <c r="A137" s="9" t="s">
        <v>389</v>
      </c>
      <c r="B137" s="10" t="s">
        <v>63</v>
      </c>
      <c r="C137" s="9" t="s">
        <v>390</v>
      </c>
      <c r="D137" s="9" t="s">
        <v>391</v>
      </c>
      <c r="E137" s="10"/>
      <c r="F137" s="10"/>
      <c r="G137" s="11">
        <f>SUMIFS($G$2:$G$455,$A$2:$A$455,"050.035.*",$B$2:$B$455,"Sottoconto")</f>
        <v>18000</v>
      </c>
      <c r="H137" s="11">
        <f>SUMIFS($H$2:$H$455,$A$2:$A$455,"050.035.*",$B$2:$B$455,"Sottoconto")</f>
        <v>0</v>
      </c>
      <c r="I137" s="9"/>
    </row>
    <row r="138" spans="1:9" x14ac:dyDescent="0.35">
      <c r="A138" s="12" t="s">
        <v>392</v>
      </c>
      <c r="B138" s="13" t="s">
        <v>67</v>
      </c>
      <c r="C138" s="12" t="s">
        <v>393</v>
      </c>
      <c r="D138" s="12" t="s">
        <v>391</v>
      </c>
      <c r="E138" s="13" t="s">
        <v>61</v>
      </c>
      <c r="F138" s="13" t="s">
        <v>69</v>
      </c>
      <c r="G138" s="14">
        <v>18000</v>
      </c>
      <c r="H138" s="14">
        <v>0</v>
      </c>
      <c r="I138" s="15" t="s">
        <v>394</v>
      </c>
    </row>
    <row r="139" spans="1:9" x14ac:dyDescent="0.35">
      <c r="A139" s="9" t="s">
        <v>395</v>
      </c>
      <c r="B139" s="10" t="s">
        <v>63</v>
      </c>
      <c r="C139" s="9" t="s">
        <v>396</v>
      </c>
      <c r="D139" s="9" t="s">
        <v>397</v>
      </c>
      <c r="E139" s="10"/>
      <c r="F139" s="10"/>
      <c r="G139" s="11">
        <f>SUMIFS($G$2:$G$455,$A$2:$A$455,"050.040.*",$B$2:$B$455,"Sottoconto")</f>
        <v>10500</v>
      </c>
      <c r="H139" s="11">
        <f>SUMIFS($H$2:$H$455,$A$2:$A$455,"050.040.*",$B$2:$B$455,"Sottoconto")</f>
        <v>0</v>
      </c>
      <c r="I139" s="9"/>
    </row>
    <row r="140" spans="1:9" x14ac:dyDescent="0.35">
      <c r="A140" s="12" t="s">
        <v>398</v>
      </c>
      <c r="B140" s="13" t="s">
        <v>67</v>
      </c>
      <c r="C140" s="12" t="s">
        <v>399</v>
      </c>
      <c r="D140" s="12" t="s">
        <v>397</v>
      </c>
      <c r="E140" s="13" t="s">
        <v>61</v>
      </c>
      <c r="F140" s="13" t="s">
        <v>69</v>
      </c>
      <c r="G140" s="14">
        <v>0</v>
      </c>
      <c r="H140" s="14">
        <v>0</v>
      </c>
      <c r="I140" s="12"/>
    </row>
    <row r="141" spans="1:9" x14ac:dyDescent="0.35">
      <c r="A141" s="12" t="s">
        <v>400</v>
      </c>
      <c r="B141" s="13" t="s">
        <v>67</v>
      </c>
      <c r="C141" s="12" t="s">
        <v>401</v>
      </c>
      <c r="D141" s="12" t="s">
        <v>397</v>
      </c>
      <c r="E141" s="13" t="s">
        <v>61</v>
      </c>
      <c r="F141" s="13" t="s">
        <v>69</v>
      </c>
      <c r="G141" s="14">
        <v>2500</v>
      </c>
      <c r="H141" s="14">
        <v>0</v>
      </c>
      <c r="I141" s="12"/>
    </row>
    <row r="142" spans="1:9" x14ac:dyDescent="0.35">
      <c r="A142" s="12" t="s">
        <v>402</v>
      </c>
      <c r="B142" s="13" t="s">
        <v>67</v>
      </c>
      <c r="C142" s="12" t="s">
        <v>403</v>
      </c>
      <c r="D142" s="12" t="s">
        <v>397</v>
      </c>
      <c r="E142" s="13" t="s">
        <v>61</v>
      </c>
      <c r="F142" s="13" t="s">
        <v>69</v>
      </c>
      <c r="G142" s="14">
        <v>0</v>
      </c>
      <c r="H142" s="14">
        <v>0</v>
      </c>
      <c r="I142" s="12"/>
    </row>
    <row r="143" spans="1:9" x14ac:dyDescent="0.35">
      <c r="A143" s="12" t="s">
        <v>404</v>
      </c>
      <c r="B143" s="13" t="s">
        <v>67</v>
      </c>
      <c r="C143" s="12" t="s">
        <v>405</v>
      </c>
      <c r="D143" s="12" t="s">
        <v>397</v>
      </c>
      <c r="E143" s="13" t="s">
        <v>61</v>
      </c>
      <c r="F143" s="13" t="s">
        <v>69</v>
      </c>
      <c r="G143" s="14">
        <v>5000</v>
      </c>
      <c r="H143" s="14">
        <v>0</v>
      </c>
      <c r="I143" s="12"/>
    </row>
    <row r="144" spans="1:9" x14ac:dyDescent="0.35">
      <c r="A144" s="12" t="s">
        <v>406</v>
      </c>
      <c r="B144" s="13" t="s">
        <v>67</v>
      </c>
      <c r="C144" s="12" t="s">
        <v>407</v>
      </c>
      <c r="D144" s="12" t="s">
        <v>397</v>
      </c>
      <c r="E144" s="13" t="s">
        <v>61</v>
      </c>
      <c r="F144" s="13" t="s">
        <v>69</v>
      </c>
      <c r="G144" s="14">
        <v>3000</v>
      </c>
      <c r="H144" s="14">
        <v>0</v>
      </c>
      <c r="I144" s="12"/>
    </row>
    <row r="145" spans="1:9" x14ac:dyDescent="0.35">
      <c r="A145" s="12" t="s">
        <v>408</v>
      </c>
      <c r="B145" s="13" t="s">
        <v>67</v>
      </c>
      <c r="C145" s="12" t="s">
        <v>409</v>
      </c>
      <c r="D145" s="12" t="s">
        <v>397</v>
      </c>
      <c r="E145" s="13" t="s">
        <v>61</v>
      </c>
      <c r="F145" s="13" t="s">
        <v>69</v>
      </c>
      <c r="G145" s="14">
        <v>0</v>
      </c>
      <c r="H145" s="14">
        <v>0</v>
      </c>
      <c r="I145" s="12"/>
    </row>
    <row r="146" spans="1:9" x14ac:dyDescent="0.35">
      <c r="A146" s="6" t="s">
        <v>410</v>
      </c>
      <c r="B146" s="7" t="s">
        <v>58</v>
      </c>
      <c r="C146" s="6" t="s">
        <v>411</v>
      </c>
      <c r="D146" s="6" t="s">
        <v>412</v>
      </c>
      <c r="E146" s="7" t="s">
        <v>61</v>
      </c>
      <c r="F146" s="7"/>
      <c r="G146" s="8">
        <f>SUMIFS($G$2:$G$455,$A$2:$A$455,"060.*",$B$2:$B$455,"Sottoconto")</f>
        <v>0</v>
      </c>
      <c r="H146" s="8">
        <f>SUMIFS($H$2:$H$455,$A$2:$A$455,"060.*",$B$2:$B$455,"Sottoconto")</f>
        <v>0</v>
      </c>
      <c r="I146" s="6"/>
    </row>
    <row r="147" spans="1:9" x14ac:dyDescent="0.35">
      <c r="A147" s="9" t="s">
        <v>413</v>
      </c>
      <c r="B147" s="10" t="s">
        <v>63</v>
      </c>
      <c r="C147" s="9" t="s">
        <v>414</v>
      </c>
      <c r="D147" s="9" t="s">
        <v>415</v>
      </c>
      <c r="E147" s="10"/>
      <c r="F147" s="10"/>
      <c r="G147" s="11">
        <f>SUMIFS($G$2:$G$455,$A$2:$A$455,"060.005.*",$B$2:$B$455,"Sottoconto")</f>
        <v>0</v>
      </c>
      <c r="H147" s="11">
        <f>SUMIFS($H$2:$H$455,$A$2:$A$455,"060.005.*",$B$2:$B$455,"Sottoconto")</f>
        <v>0</v>
      </c>
      <c r="I147" s="9"/>
    </row>
    <row r="148" spans="1:9" x14ac:dyDescent="0.35">
      <c r="A148" s="12" t="s">
        <v>416</v>
      </c>
      <c r="B148" s="13" t="s">
        <v>67</v>
      </c>
      <c r="C148" s="12" t="s">
        <v>417</v>
      </c>
      <c r="D148" s="12" t="s">
        <v>418</v>
      </c>
      <c r="E148" s="13" t="s">
        <v>61</v>
      </c>
      <c r="F148" s="13" t="s">
        <v>69</v>
      </c>
      <c r="G148" s="14">
        <v>0</v>
      </c>
      <c r="H148" s="14">
        <v>0</v>
      </c>
      <c r="I148" s="12"/>
    </row>
    <row r="149" spans="1:9" x14ac:dyDescent="0.35">
      <c r="A149" s="12" t="s">
        <v>419</v>
      </c>
      <c r="B149" s="13" t="s">
        <v>67</v>
      </c>
      <c r="C149" s="12" t="s">
        <v>420</v>
      </c>
      <c r="D149" s="12" t="s">
        <v>421</v>
      </c>
      <c r="E149" s="13" t="s">
        <v>61</v>
      </c>
      <c r="F149" s="13" t="s">
        <v>69</v>
      </c>
      <c r="G149" s="14">
        <v>0</v>
      </c>
      <c r="H149" s="14">
        <v>0</v>
      </c>
      <c r="I149" s="12"/>
    </row>
    <row r="150" spans="1:9" x14ac:dyDescent="0.35">
      <c r="A150" s="12" t="s">
        <v>422</v>
      </c>
      <c r="B150" s="13" t="s">
        <v>67</v>
      </c>
      <c r="C150" s="12" t="s">
        <v>423</v>
      </c>
      <c r="D150" s="12" t="s">
        <v>424</v>
      </c>
      <c r="E150" s="13" t="s">
        <v>61</v>
      </c>
      <c r="F150" s="13" t="s">
        <v>69</v>
      </c>
      <c r="G150" s="14">
        <v>0</v>
      </c>
      <c r="H150" s="14">
        <v>0</v>
      </c>
      <c r="I150" s="12"/>
    </row>
    <row r="151" spans="1:9" x14ac:dyDescent="0.35">
      <c r="A151" s="12" t="s">
        <v>425</v>
      </c>
      <c r="B151" s="13" t="s">
        <v>67</v>
      </c>
      <c r="C151" s="12" t="s">
        <v>255</v>
      </c>
      <c r="D151" s="12" t="s">
        <v>426</v>
      </c>
      <c r="E151" s="13" t="s">
        <v>61</v>
      </c>
      <c r="F151" s="13" t="s">
        <v>69</v>
      </c>
      <c r="G151" s="14">
        <v>0</v>
      </c>
      <c r="H151" s="14">
        <v>0</v>
      </c>
      <c r="I151" s="12"/>
    </row>
    <row r="152" spans="1:9" x14ac:dyDescent="0.35">
      <c r="A152" s="12" t="s">
        <v>427</v>
      </c>
      <c r="B152" s="13" t="s">
        <v>67</v>
      </c>
      <c r="C152" s="12" t="s">
        <v>428</v>
      </c>
      <c r="D152" s="12" t="s">
        <v>429</v>
      </c>
      <c r="E152" s="13" t="s">
        <v>61</v>
      </c>
      <c r="F152" s="13" t="s">
        <v>69</v>
      </c>
      <c r="G152" s="14">
        <v>0</v>
      </c>
      <c r="H152" s="14">
        <v>0</v>
      </c>
      <c r="I152" s="12"/>
    </row>
    <row r="153" spans="1:9" x14ac:dyDescent="0.35">
      <c r="A153" s="9" t="s">
        <v>430</v>
      </c>
      <c r="B153" s="10" t="s">
        <v>63</v>
      </c>
      <c r="C153" s="9" t="s">
        <v>286</v>
      </c>
      <c r="D153" s="9" t="s">
        <v>431</v>
      </c>
      <c r="E153" s="10"/>
      <c r="F153" s="10"/>
      <c r="G153" s="11">
        <f>SUMIFS($G$2:$G$455,$A$2:$A$455,"060.010.*",$B$2:$B$455,"Sottoconto")</f>
        <v>0</v>
      </c>
      <c r="H153" s="11">
        <f>SUMIFS($H$2:$H$455,$A$2:$A$455,"060.010.*",$B$2:$B$455,"Sottoconto")</f>
        <v>0</v>
      </c>
      <c r="I153" s="9"/>
    </row>
    <row r="154" spans="1:9" x14ac:dyDescent="0.35">
      <c r="A154" s="12" t="s">
        <v>432</v>
      </c>
      <c r="B154" s="13" t="s">
        <v>67</v>
      </c>
      <c r="C154" s="12" t="s">
        <v>433</v>
      </c>
      <c r="D154" s="12" t="s">
        <v>431</v>
      </c>
      <c r="E154" s="13" t="s">
        <v>61</v>
      </c>
      <c r="F154" s="13" t="s">
        <v>69</v>
      </c>
      <c r="G154" s="14">
        <v>0</v>
      </c>
      <c r="H154" s="14">
        <v>0</v>
      </c>
      <c r="I154" s="12"/>
    </row>
    <row r="155" spans="1:9" x14ac:dyDescent="0.35">
      <c r="A155" s="9" t="s">
        <v>434</v>
      </c>
      <c r="B155" s="10" t="s">
        <v>63</v>
      </c>
      <c r="C155" s="9" t="s">
        <v>281</v>
      </c>
      <c r="D155" s="9" t="s">
        <v>435</v>
      </c>
      <c r="E155" s="10"/>
      <c r="F155" s="10"/>
      <c r="G155" s="11">
        <f>SUMIFS($G$2:$G$455,$A$2:$A$455,"060.015.*",$B$2:$B$455,"Sottoconto")</f>
        <v>0</v>
      </c>
      <c r="H155" s="11">
        <f>SUMIFS($H$2:$H$455,$A$2:$A$455,"060.015.*",$B$2:$B$455,"Sottoconto")</f>
        <v>0</v>
      </c>
      <c r="I155" s="9"/>
    </row>
    <row r="156" spans="1:9" x14ac:dyDescent="0.35">
      <c r="A156" s="12" t="s">
        <v>436</v>
      </c>
      <c r="B156" s="13" t="s">
        <v>67</v>
      </c>
      <c r="C156" s="12" t="s">
        <v>437</v>
      </c>
      <c r="D156" s="12" t="s">
        <v>435</v>
      </c>
      <c r="E156" s="13" t="s">
        <v>61</v>
      </c>
      <c r="F156" s="13" t="s">
        <v>69</v>
      </c>
      <c r="G156" s="14">
        <v>0</v>
      </c>
      <c r="H156" s="14">
        <v>0</v>
      </c>
      <c r="I156" s="12"/>
    </row>
    <row r="157" spans="1:9" x14ac:dyDescent="0.35">
      <c r="A157" s="12" t="s">
        <v>438</v>
      </c>
      <c r="B157" s="13" t="s">
        <v>67</v>
      </c>
      <c r="C157" s="12" t="s">
        <v>439</v>
      </c>
      <c r="D157" s="12" t="s">
        <v>435</v>
      </c>
      <c r="E157" s="13" t="s">
        <v>61</v>
      </c>
      <c r="F157" s="13" t="s">
        <v>69</v>
      </c>
      <c r="G157" s="14">
        <v>0</v>
      </c>
      <c r="H157" s="14">
        <v>0</v>
      </c>
      <c r="I157" s="12"/>
    </row>
    <row r="158" spans="1:9" x14ac:dyDescent="0.35">
      <c r="A158" s="6" t="s">
        <v>440</v>
      </c>
      <c r="B158" s="7" t="s">
        <v>58</v>
      </c>
      <c r="C158" s="6" t="s">
        <v>441</v>
      </c>
      <c r="D158" s="6" t="s">
        <v>442</v>
      </c>
      <c r="E158" s="7" t="s">
        <v>61</v>
      </c>
      <c r="F158" s="7"/>
      <c r="G158" s="8">
        <f>SUMIFS($G$2:$G$455,$A$2:$A$455,"070.*",$B$2:$B$455,"Sottoconto")</f>
        <v>132300</v>
      </c>
      <c r="H158" s="8">
        <f>SUMIFS($H$2:$H$455,$A$2:$A$455,"070.*",$B$2:$B$455,"Sottoconto")</f>
        <v>0</v>
      </c>
      <c r="I158" s="6"/>
    </row>
    <row r="159" spans="1:9" x14ac:dyDescent="0.35">
      <c r="A159" s="9" t="s">
        <v>443</v>
      </c>
      <c r="B159" s="10" t="s">
        <v>63</v>
      </c>
      <c r="C159" s="9" t="s">
        <v>444</v>
      </c>
      <c r="D159" s="9" t="s">
        <v>445</v>
      </c>
      <c r="E159" s="10"/>
      <c r="F159" s="10"/>
      <c r="G159" s="11">
        <f>SUMIFS($G$2:$G$455,$A$2:$A$455,"070.005.*",$B$2:$B$455,"Sottoconto")</f>
        <v>130000</v>
      </c>
      <c r="H159" s="11">
        <f>SUMIFS($H$2:$H$455,$A$2:$A$455,"070.005.*",$B$2:$B$455,"Sottoconto")</f>
        <v>0</v>
      </c>
      <c r="I159" s="9"/>
    </row>
    <row r="160" spans="1:9" x14ac:dyDescent="0.35">
      <c r="A160" s="12" t="s">
        <v>446</v>
      </c>
      <c r="B160" s="13" t="s">
        <v>67</v>
      </c>
      <c r="C160" s="12" t="s">
        <v>447</v>
      </c>
      <c r="D160" s="12" t="s">
        <v>445</v>
      </c>
      <c r="E160" s="13" t="s">
        <v>61</v>
      </c>
      <c r="F160" s="13" t="s">
        <v>69</v>
      </c>
      <c r="G160" s="14">
        <v>95000</v>
      </c>
      <c r="H160" s="14">
        <v>0</v>
      </c>
      <c r="I160" s="12"/>
    </row>
    <row r="161" spans="1:9" x14ac:dyDescent="0.35">
      <c r="A161" s="12" t="s">
        <v>448</v>
      </c>
      <c r="B161" s="13" t="s">
        <v>67</v>
      </c>
      <c r="C161" s="12" t="s">
        <v>449</v>
      </c>
      <c r="D161" s="12" t="s">
        <v>445</v>
      </c>
      <c r="E161" s="13" t="s">
        <v>61</v>
      </c>
      <c r="F161" s="13" t="s">
        <v>69</v>
      </c>
      <c r="G161" s="14">
        <v>35000</v>
      </c>
      <c r="H161" s="14">
        <v>0</v>
      </c>
      <c r="I161" s="12"/>
    </row>
    <row r="162" spans="1:9" x14ac:dyDescent="0.35">
      <c r="A162" s="12" t="s">
        <v>450</v>
      </c>
      <c r="B162" s="13" t="s">
        <v>67</v>
      </c>
      <c r="C162" s="12" t="s">
        <v>451</v>
      </c>
      <c r="D162" s="12" t="s">
        <v>445</v>
      </c>
      <c r="E162" s="13" t="s">
        <v>61</v>
      </c>
      <c r="F162" s="13" t="s">
        <v>69</v>
      </c>
      <c r="G162" s="14">
        <v>0</v>
      </c>
      <c r="H162" s="14">
        <v>0</v>
      </c>
      <c r="I162" s="12"/>
    </row>
    <row r="163" spans="1:9" x14ac:dyDescent="0.35">
      <c r="A163" s="12" t="s">
        <v>452</v>
      </c>
      <c r="B163" s="13" t="s">
        <v>67</v>
      </c>
      <c r="C163" s="12" t="s">
        <v>453</v>
      </c>
      <c r="D163" s="12" t="s">
        <v>445</v>
      </c>
      <c r="E163" s="13" t="s">
        <v>61</v>
      </c>
      <c r="F163" s="13" t="s">
        <v>69</v>
      </c>
      <c r="G163" s="14">
        <v>0</v>
      </c>
      <c r="H163" s="14">
        <v>0</v>
      </c>
      <c r="I163" s="12"/>
    </row>
    <row r="164" spans="1:9" x14ac:dyDescent="0.35">
      <c r="A164" s="12" t="s">
        <v>454</v>
      </c>
      <c r="B164" s="13" t="s">
        <v>67</v>
      </c>
      <c r="C164" s="12" t="s">
        <v>455</v>
      </c>
      <c r="D164" s="12" t="s">
        <v>445</v>
      </c>
      <c r="E164" s="13" t="s">
        <v>61</v>
      </c>
      <c r="F164" s="13" t="s">
        <v>69</v>
      </c>
      <c r="G164" s="14">
        <v>0</v>
      </c>
      <c r="H164" s="14">
        <v>0</v>
      </c>
      <c r="I164" s="12"/>
    </row>
    <row r="165" spans="1:9" x14ac:dyDescent="0.35">
      <c r="A165" s="9" t="s">
        <v>456</v>
      </c>
      <c r="B165" s="10" t="s">
        <v>63</v>
      </c>
      <c r="C165" s="9" t="s">
        <v>457</v>
      </c>
      <c r="D165" s="9" t="s">
        <v>458</v>
      </c>
      <c r="E165" s="10"/>
      <c r="F165" s="10"/>
      <c r="G165" s="11">
        <f>SUMIFS($G$2:$G$455,$A$2:$A$455,"070.010.*",$B$2:$B$455,"Sottoconto")</f>
        <v>0</v>
      </c>
      <c r="H165" s="11">
        <f>SUMIFS($H$2:$H$455,$A$2:$A$455,"070.010.*",$B$2:$B$455,"Sottoconto")</f>
        <v>0</v>
      </c>
      <c r="I165" s="9"/>
    </row>
    <row r="166" spans="1:9" x14ac:dyDescent="0.35">
      <c r="A166" s="12" t="s">
        <v>459</v>
      </c>
      <c r="B166" s="13" t="s">
        <v>67</v>
      </c>
      <c r="C166" s="12" t="s">
        <v>460</v>
      </c>
      <c r="D166" s="12" t="s">
        <v>458</v>
      </c>
      <c r="E166" s="13" t="s">
        <v>61</v>
      </c>
      <c r="F166" s="13" t="s">
        <v>69</v>
      </c>
      <c r="G166" s="14">
        <v>0</v>
      </c>
      <c r="H166" s="14">
        <v>0</v>
      </c>
      <c r="I166" s="12"/>
    </row>
    <row r="167" spans="1:9" x14ac:dyDescent="0.35">
      <c r="A167" s="9" t="s">
        <v>461</v>
      </c>
      <c r="B167" s="10" t="s">
        <v>63</v>
      </c>
      <c r="C167" s="9" t="s">
        <v>462</v>
      </c>
      <c r="D167" s="9" t="s">
        <v>463</v>
      </c>
      <c r="E167" s="10"/>
      <c r="F167" s="10"/>
      <c r="G167" s="11">
        <f>SUMIFS($G$2:$G$455,$A$2:$A$455,"070.015.*",$B$2:$B$455,"Sottoconto")</f>
        <v>2300</v>
      </c>
      <c r="H167" s="11">
        <f>SUMIFS($H$2:$H$455,$A$2:$A$455,"070.015.*",$B$2:$B$455,"Sottoconto")</f>
        <v>0</v>
      </c>
      <c r="I167" s="9"/>
    </row>
    <row r="168" spans="1:9" x14ac:dyDescent="0.35">
      <c r="A168" s="12" t="s">
        <v>464</v>
      </c>
      <c r="B168" s="13" t="s">
        <v>67</v>
      </c>
      <c r="C168" s="12" t="s">
        <v>465</v>
      </c>
      <c r="D168" s="12" t="s">
        <v>463</v>
      </c>
      <c r="E168" s="13" t="s">
        <v>61</v>
      </c>
      <c r="F168" s="13" t="s">
        <v>69</v>
      </c>
      <c r="G168" s="14">
        <v>1500</v>
      </c>
      <c r="H168" s="14">
        <v>0</v>
      </c>
      <c r="I168" s="15" t="s">
        <v>466</v>
      </c>
    </row>
    <row r="169" spans="1:9" x14ac:dyDescent="0.35">
      <c r="A169" s="12" t="s">
        <v>467</v>
      </c>
      <c r="B169" s="13" t="s">
        <v>67</v>
      </c>
      <c r="C169" s="12" t="s">
        <v>468</v>
      </c>
      <c r="D169" s="12" t="s">
        <v>463</v>
      </c>
      <c r="E169" s="13" t="s">
        <v>61</v>
      </c>
      <c r="F169" s="13" t="s">
        <v>69</v>
      </c>
      <c r="G169" s="14">
        <v>0</v>
      </c>
      <c r="H169" s="14">
        <v>0</v>
      </c>
      <c r="I169" s="12"/>
    </row>
    <row r="170" spans="1:9" x14ac:dyDescent="0.35">
      <c r="A170" s="12" t="s">
        <v>469</v>
      </c>
      <c r="B170" s="13" t="s">
        <v>67</v>
      </c>
      <c r="C170" s="12" t="s">
        <v>470</v>
      </c>
      <c r="D170" s="12" t="s">
        <v>463</v>
      </c>
      <c r="E170" s="13" t="s">
        <v>61</v>
      </c>
      <c r="F170" s="13" t="s">
        <v>69</v>
      </c>
      <c r="G170" s="14">
        <v>800</v>
      </c>
      <c r="H170" s="14">
        <v>0</v>
      </c>
      <c r="I170" s="12"/>
    </row>
    <row r="171" spans="1:9" x14ac:dyDescent="0.35">
      <c r="A171" s="6" t="s">
        <v>471</v>
      </c>
      <c r="B171" s="7" t="s">
        <v>58</v>
      </c>
      <c r="C171" s="6" t="s">
        <v>472</v>
      </c>
      <c r="D171" s="6" t="s">
        <v>69</v>
      </c>
      <c r="E171" s="7" t="s">
        <v>61</v>
      </c>
      <c r="F171" s="7"/>
      <c r="G171" s="8">
        <f>SUMIFS($G$2:$G$455,$A$2:$A$455,"080.*",$B$2:$B$455,"Sottoconto")</f>
        <v>8000</v>
      </c>
      <c r="H171" s="8">
        <f>SUMIFS($H$2:$H$455,$A$2:$A$455,"080.*",$B$2:$B$455,"Sottoconto")</f>
        <v>0</v>
      </c>
      <c r="I171" s="6"/>
    </row>
    <row r="172" spans="1:9" x14ac:dyDescent="0.35">
      <c r="A172" s="9" t="s">
        <v>473</v>
      </c>
      <c r="B172" s="10" t="s">
        <v>63</v>
      </c>
      <c r="C172" s="9" t="s">
        <v>474</v>
      </c>
      <c r="D172" s="9" t="s">
        <v>69</v>
      </c>
      <c r="E172" s="10"/>
      <c r="F172" s="10"/>
      <c r="G172" s="11">
        <f>SUMIFS($G$2:$G$455,$A$2:$A$455,"080.005.*",$B$2:$B$455,"Sottoconto")</f>
        <v>0</v>
      </c>
      <c r="H172" s="11">
        <f>SUMIFS($H$2:$H$455,$A$2:$A$455,"080.005.*",$B$2:$B$455,"Sottoconto")</f>
        <v>0</v>
      </c>
      <c r="I172" s="9"/>
    </row>
    <row r="173" spans="1:9" x14ac:dyDescent="0.35">
      <c r="A173" s="12" t="s">
        <v>475</v>
      </c>
      <c r="B173" s="13" t="s">
        <v>67</v>
      </c>
      <c r="C173" s="12" t="s">
        <v>474</v>
      </c>
      <c r="D173" s="12" t="s">
        <v>69</v>
      </c>
      <c r="E173" s="13" t="s">
        <v>61</v>
      </c>
      <c r="F173" s="13" t="s">
        <v>69</v>
      </c>
      <c r="G173" s="14">
        <v>0</v>
      </c>
      <c r="H173" s="14">
        <v>0</v>
      </c>
      <c r="I173" s="15" t="s">
        <v>476</v>
      </c>
    </row>
    <row r="174" spans="1:9" x14ac:dyDescent="0.35">
      <c r="A174" s="9" t="s">
        <v>477</v>
      </c>
      <c r="B174" s="10" t="s">
        <v>63</v>
      </c>
      <c r="C174" s="9" t="s">
        <v>478</v>
      </c>
      <c r="D174" s="9" t="s">
        <v>69</v>
      </c>
      <c r="E174" s="10"/>
      <c r="F174" s="10"/>
      <c r="G174" s="11">
        <f>SUMIFS($G$2:$G$455,$A$2:$A$455,"080.010.*",$B$2:$B$455,"Sottoconto")</f>
        <v>8000</v>
      </c>
      <c r="H174" s="11">
        <f>SUMIFS($H$2:$H$455,$A$2:$A$455,"080.010.*",$B$2:$B$455,"Sottoconto")</f>
        <v>0</v>
      </c>
      <c r="I174" s="9"/>
    </row>
    <row r="175" spans="1:9" x14ac:dyDescent="0.35">
      <c r="A175" s="12" t="s">
        <v>479</v>
      </c>
      <c r="B175" s="13" t="s">
        <v>67</v>
      </c>
      <c r="C175" s="12" t="s">
        <v>478</v>
      </c>
      <c r="D175" s="12" t="s">
        <v>69</v>
      </c>
      <c r="E175" s="13" t="s">
        <v>61</v>
      </c>
      <c r="F175" s="13" t="s">
        <v>69</v>
      </c>
      <c r="G175" s="14">
        <v>8000</v>
      </c>
      <c r="H175" s="14">
        <v>0</v>
      </c>
      <c r="I175" s="12"/>
    </row>
    <row r="176" spans="1:9" x14ac:dyDescent="0.35">
      <c r="A176" s="12" t="s">
        <v>480</v>
      </c>
      <c r="B176" s="13" t="s">
        <v>67</v>
      </c>
      <c r="C176" s="12" t="s">
        <v>481</v>
      </c>
      <c r="D176" s="12" t="s">
        <v>69</v>
      </c>
      <c r="E176" s="13" t="s">
        <v>61</v>
      </c>
      <c r="F176" s="13" t="s">
        <v>69</v>
      </c>
      <c r="G176" s="14">
        <v>0</v>
      </c>
      <c r="H176" s="14">
        <v>0</v>
      </c>
      <c r="I176" s="15" t="s">
        <v>482</v>
      </c>
    </row>
    <row r="177" spans="1:9" x14ac:dyDescent="0.35">
      <c r="A177" s="6" t="s">
        <v>483</v>
      </c>
      <c r="B177" s="7" t="s">
        <v>58</v>
      </c>
      <c r="C177" s="6" t="s">
        <v>484</v>
      </c>
      <c r="D177" s="6" t="s">
        <v>76</v>
      </c>
      <c r="E177" s="7" t="s">
        <v>485</v>
      </c>
      <c r="F177" s="7"/>
      <c r="G177" s="8">
        <f>SUMIFS($G$2:$G$455,$A$2:$A$455,"100.*",$B$2:$B$455,"Sottoconto")</f>
        <v>0</v>
      </c>
      <c r="H177" s="8">
        <f>SUMIFS($H$2:$H$455,$A$2:$A$455,"100.*",$B$2:$B$455,"Sottoconto")</f>
        <v>499300</v>
      </c>
      <c r="I177" s="6"/>
    </row>
    <row r="178" spans="1:9" x14ac:dyDescent="0.35">
      <c r="A178" s="9" t="s">
        <v>486</v>
      </c>
      <c r="B178" s="10" t="s">
        <v>63</v>
      </c>
      <c r="C178" s="9" t="s">
        <v>487</v>
      </c>
      <c r="D178" s="9" t="s">
        <v>488</v>
      </c>
      <c r="E178" s="10"/>
      <c r="F178" s="10"/>
      <c r="G178" s="11">
        <f>SUMIFS($G$2:$G$455,$A$2:$A$455,"100.005.*",$B$2:$B$455,"Sottoconto")</f>
        <v>0</v>
      </c>
      <c r="H178" s="11">
        <f>SUMIFS($H$2:$H$455,$A$2:$A$455,"100.005.*",$B$2:$B$455,"Sottoconto")</f>
        <v>100000</v>
      </c>
      <c r="I178" s="9"/>
    </row>
    <row r="179" spans="1:9" x14ac:dyDescent="0.35">
      <c r="A179" s="12" t="s">
        <v>489</v>
      </c>
      <c r="B179" s="13" t="s">
        <v>67</v>
      </c>
      <c r="C179" s="12" t="s">
        <v>487</v>
      </c>
      <c r="D179" s="12" t="s">
        <v>488</v>
      </c>
      <c r="E179" s="13" t="s">
        <v>485</v>
      </c>
      <c r="F179" s="13" t="s">
        <v>76</v>
      </c>
      <c r="G179" s="14">
        <v>0</v>
      </c>
      <c r="H179" s="14">
        <v>100000</v>
      </c>
      <c r="I179" s="15" t="s">
        <v>490</v>
      </c>
    </row>
    <row r="180" spans="1:9" x14ac:dyDescent="0.35">
      <c r="A180" s="9" t="s">
        <v>491</v>
      </c>
      <c r="B180" s="10" t="s">
        <v>63</v>
      </c>
      <c r="C180" s="9" t="s">
        <v>492</v>
      </c>
      <c r="D180" s="9" t="s">
        <v>493</v>
      </c>
      <c r="E180" s="10"/>
      <c r="F180" s="10"/>
      <c r="G180" s="11">
        <f>SUMIFS($G$2:$G$455,$A$2:$A$455,"100.010.*",$B$2:$B$455,"Sottoconto")</f>
        <v>0</v>
      </c>
      <c r="H180" s="11">
        <f>SUMIFS($H$2:$H$455,$A$2:$A$455,"100.010.*",$B$2:$B$455,"Sottoconto")</f>
        <v>0</v>
      </c>
      <c r="I180" s="9"/>
    </row>
    <row r="181" spans="1:9" x14ac:dyDescent="0.35">
      <c r="A181" s="12" t="s">
        <v>494</v>
      </c>
      <c r="B181" s="13" t="s">
        <v>67</v>
      </c>
      <c r="C181" s="12" t="s">
        <v>495</v>
      </c>
      <c r="D181" s="12" t="s">
        <v>493</v>
      </c>
      <c r="E181" s="13" t="s">
        <v>485</v>
      </c>
      <c r="F181" s="13" t="s">
        <v>76</v>
      </c>
      <c r="G181" s="14">
        <v>0</v>
      </c>
      <c r="H181" s="14">
        <v>0</v>
      </c>
      <c r="I181" s="12"/>
    </row>
    <row r="182" spans="1:9" x14ac:dyDescent="0.35">
      <c r="A182" s="9" t="s">
        <v>496</v>
      </c>
      <c r="B182" s="10" t="s">
        <v>63</v>
      </c>
      <c r="C182" s="9" t="s">
        <v>497</v>
      </c>
      <c r="D182" s="9" t="s">
        <v>498</v>
      </c>
      <c r="E182" s="10"/>
      <c r="F182" s="10"/>
      <c r="G182" s="11">
        <f>SUMIFS($G$2:$G$455,$A$2:$A$455,"100.015.*",$B$2:$B$455,"Sottoconto")</f>
        <v>0</v>
      </c>
      <c r="H182" s="11">
        <f>SUMIFS($H$2:$H$455,$A$2:$A$455,"100.015.*",$B$2:$B$455,"Sottoconto")</f>
        <v>0</v>
      </c>
      <c r="I182" s="9"/>
    </row>
    <row r="183" spans="1:9" x14ac:dyDescent="0.35">
      <c r="A183" s="12" t="s">
        <v>499</v>
      </c>
      <c r="B183" s="13" t="s">
        <v>67</v>
      </c>
      <c r="C183" s="12" t="s">
        <v>500</v>
      </c>
      <c r="D183" s="12" t="s">
        <v>498</v>
      </c>
      <c r="E183" s="13" t="s">
        <v>485</v>
      </c>
      <c r="F183" s="13" t="s">
        <v>76</v>
      </c>
      <c r="G183" s="14">
        <v>0</v>
      </c>
      <c r="H183" s="14">
        <v>0</v>
      </c>
      <c r="I183" s="12"/>
    </row>
    <row r="184" spans="1:9" x14ac:dyDescent="0.35">
      <c r="A184" s="9" t="s">
        <v>501</v>
      </c>
      <c r="B184" s="10" t="s">
        <v>63</v>
      </c>
      <c r="C184" s="9" t="s">
        <v>502</v>
      </c>
      <c r="D184" s="9" t="s">
        <v>503</v>
      </c>
      <c r="E184" s="10"/>
      <c r="F184" s="10"/>
      <c r="G184" s="11">
        <f>SUMIFS($G$2:$G$455,$A$2:$A$455,"100.020.*",$B$2:$B$455,"Sottoconto")</f>
        <v>0</v>
      </c>
      <c r="H184" s="11">
        <f>SUMIFS($H$2:$H$455,$A$2:$A$455,"100.020.*",$B$2:$B$455,"Sottoconto")</f>
        <v>20000</v>
      </c>
      <c r="I184" s="16" t="s">
        <v>504</v>
      </c>
    </row>
    <row r="185" spans="1:9" x14ac:dyDescent="0.35">
      <c r="A185" s="12" t="s">
        <v>505</v>
      </c>
      <c r="B185" s="13" t="s">
        <v>67</v>
      </c>
      <c r="C185" s="12" t="s">
        <v>502</v>
      </c>
      <c r="D185" s="12" t="s">
        <v>503</v>
      </c>
      <c r="E185" s="13" t="s">
        <v>485</v>
      </c>
      <c r="F185" s="13" t="s">
        <v>76</v>
      </c>
      <c r="G185" s="14">
        <v>0</v>
      </c>
      <c r="H185" s="14">
        <v>20000</v>
      </c>
      <c r="I185" s="12"/>
    </row>
    <row r="186" spans="1:9" x14ac:dyDescent="0.35">
      <c r="A186" s="9" t="s">
        <v>506</v>
      </c>
      <c r="B186" s="10" t="s">
        <v>63</v>
      </c>
      <c r="C186" s="9" t="s">
        <v>507</v>
      </c>
      <c r="D186" s="9" t="s">
        <v>508</v>
      </c>
      <c r="E186" s="10"/>
      <c r="F186" s="10"/>
      <c r="G186" s="11">
        <f>SUMIFS($G$2:$G$455,$A$2:$A$455,"100.025.*",$B$2:$B$455,"Sottoconto")</f>
        <v>0</v>
      </c>
      <c r="H186" s="11">
        <f>SUMIFS($H$2:$H$455,$A$2:$A$455,"100.025.*",$B$2:$B$455,"Sottoconto")</f>
        <v>0</v>
      </c>
      <c r="I186" s="9"/>
    </row>
    <row r="187" spans="1:9" x14ac:dyDescent="0.35">
      <c r="A187" s="12" t="s">
        <v>509</v>
      </c>
      <c r="B187" s="13" t="s">
        <v>67</v>
      </c>
      <c r="C187" s="12" t="s">
        <v>507</v>
      </c>
      <c r="D187" s="12" t="s">
        <v>508</v>
      </c>
      <c r="E187" s="13" t="s">
        <v>485</v>
      </c>
      <c r="F187" s="13" t="s">
        <v>76</v>
      </c>
      <c r="G187" s="14">
        <v>0</v>
      </c>
      <c r="H187" s="14">
        <v>0</v>
      </c>
      <c r="I187" s="12"/>
    </row>
    <row r="188" spans="1:9" x14ac:dyDescent="0.35">
      <c r="A188" s="9" t="s">
        <v>510</v>
      </c>
      <c r="B188" s="10" t="s">
        <v>63</v>
      </c>
      <c r="C188" s="9" t="s">
        <v>511</v>
      </c>
      <c r="D188" s="9" t="s">
        <v>512</v>
      </c>
      <c r="E188" s="10"/>
      <c r="F188" s="10"/>
      <c r="G188" s="11">
        <f>SUMIFS($G$2:$G$455,$A$2:$A$455,"100.030.*",$B$2:$B$455,"Sottoconto")</f>
        <v>0</v>
      </c>
      <c r="H188" s="11">
        <f>SUMIFS($H$2:$H$455,$A$2:$A$455,"100.030.*",$B$2:$B$455,"Sottoconto")</f>
        <v>234000</v>
      </c>
      <c r="I188" s="9"/>
    </row>
    <row r="189" spans="1:9" x14ac:dyDescent="0.35">
      <c r="A189" s="12" t="s">
        <v>513</v>
      </c>
      <c r="B189" s="13" t="s">
        <v>67</v>
      </c>
      <c r="C189" s="12" t="s">
        <v>514</v>
      </c>
      <c r="D189" s="12" t="s">
        <v>512</v>
      </c>
      <c r="E189" s="13" t="s">
        <v>485</v>
      </c>
      <c r="F189" s="13" t="s">
        <v>76</v>
      </c>
      <c r="G189" s="14">
        <v>0</v>
      </c>
      <c r="H189" s="14">
        <v>184000</v>
      </c>
      <c r="I189" s="12"/>
    </row>
    <row r="190" spans="1:9" x14ac:dyDescent="0.35">
      <c r="A190" s="12" t="s">
        <v>515</v>
      </c>
      <c r="B190" s="13" t="s">
        <v>67</v>
      </c>
      <c r="C190" s="12" t="s">
        <v>516</v>
      </c>
      <c r="D190" s="12" t="s">
        <v>512</v>
      </c>
      <c r="E190" s="13" t="s">
        <v>485</v>
      </c>
      <c r="F190" s="13" t="s">
        <v>76</v>
      </c>
      <c r="G190" s="14">
        <v>0</v>
      </c>
      <c r="H190" s="14">
        <v>50000</v>
      </c>
      <c r="I190" s="15" t="s">
        <v>517</v>
      </c>
    </row>
    <row r="191" spans="1:9" x14ac:dyDescent="0.35">
      <c r="A191" s="12" t="s">
        <v>518</v>
      </c>
      <c r="B191" s="13" t="s">
        <v>67</v>
      </c>
      <c r="C191" s="12" t="s">
        <v>519</v>
      </c>
      <c r="D191" s="12" t="s">
        <v>512</v>
      </c>
      <c r="E191" s="13" t="s">
        <v>485</v>
      </c>
      <c r="F191" s="13" t="s">
        <v>76</v>
      </c>
      <c r="G191" s="14">
        <v>0</v>
      </c>
      <c r="H191" s="14">
        <v>0</v>
      </c>
      <c r="I191" s="12"/>
    </row>
    <row r="192" spans="1:9" x14ac:dyDescent="0.35">
      <c r="A192" s="12" t="s">
        <v>520</v>
      </c>
      <c r="B192" s="13" t="s">
        <v>67</v>
      </c>
      <c r="C192" s="12" t="s">
        <v>521</v>
      </c>
      <c r="D192" s="12" t="s">
        <v>512</v>
      </c>
      <c r="E192" s="13" t="s">
        <v>485</v>
      </c>
      <c r="F192" s="13" t="s">
        <v>76</v>
      </c>
      <c r="G192" s="14">
        <v>0</v>
      </c>
      <c r="H192" s="14">
        <v>0</v>
      </c>
      <c r="I192" s="12"/>
    </row>
    <row r="193" spans="1:9" x14ac:dyDescent="0.35">
      <c r="A193" s="12" t="s">
        <v>522</v>
      </c>
      <c r="B193" s="13" t="s">
        <v>67</v>
      </c>
      <c r="C193" s="12" t="s">
        <v>523</v>
      </c>
      <c r="D193" s="12" t="s">
        <v>512</v>
      </c>
      <c r="E193" s="13" t="s">
        <v>485</v>
      </c>
      <c r="F193" s="13" t="s">
        <v>76</v>
      </c>
      <c r="G193" s="14">
        <v>0</v>
      </c>
      <c r="H193" s="14">
        <v>0</v>
      </c>
      <c r="I193" s="12"/>
    </row>
    <row r="194" spans="1:9" x14ac:dyDescent="0.35">
      <c r="A194" s="9" t="s">
        <v>524</v>
      </c>
      <c r="B194" s="10" t="s">
        <v>63</v>
      </c>
      <c r="C194" s="9" t="s">
        <v>525</v>
      </c>
      <c r="D194" s="9" t="s">
        <v>526</v>
      </c>
      <c r="E194" s="10"/>
      <c r="F194" s="10"/>
      <c r="G194" s="11">
        <f>SUMIFS($G$2:$G$455,$A$2:$A$455,"100.035.*",$B$2:$B$455,"Sottoconto")</f>
        <v>0</v>
      </c>
      <c r="H194" s="11">
        <f>SUMIFS($H$2:$H$455,$A$2:$A$455,"100.035.*",$B$2:$B$455,"Sottoconto")</f>
        <v>0</v>
      </c>
      <c r="I194" s="16" t="s">
        <v>527</v>
      </c>
    </row>
    <row r="195" spans="1:9" x14ac:dyDescent="0.35">
      <c r="A195" s="12" t="s">
        <v>528</v>
      </c>
      <c r="B195" s="13" t="s">
        <v>67</v>
      </c>
      <c r="C195" s="12" t="s">
        <v>529</v>
      </c>
      <c r="D195" s="12" t="s">
        <v>526</v>
      </c>
      <c r="E195" s="13" t="s">
        <v>485</v>
      </c>
      <c r="F195" s="13" t="s">
        <v>76</v>
      </c>
      <c r="G195" s="14">
        <v>0</v>
      </c>
      <c r="H195" s="14">
        <v>0</v>
      </c>
      <c r="I195" s="12"/>
    </row>
    <row r="196" spans="1:9" x14ac:dyDescent="0.35">
      <c r="A196" s="9" t="s">
        <v>530</v>
      </c>
      <c r="B196" s="10" t="s">
        <v>63</v>
      </c>
      <c r="C196" s="9" t="s">
        <v>531</v>
      </c>
      <c r="D196" s="9" t="s">
        <v>532</v>
      </c>
      <c r="E196" s="10"/>
      <c r="F196" s="10"/>
      <c r="G196" s="11">
        <f>SUMIFS($G$2:$G$455,$A$2:$A$455,"100.040.*",$B$2:$B$455,"Sottoconto")</f>
        <v>0</v>
      </c>
      <c r="H196" s="11">
        <f>SUMIFS($H$2:$H$455,$A$2:$A$455,"100.040.*",$B$2:$B$455,"Sottoconto")</f>
        <v>145300</v>
      </c>
      <c r="I196" s="9"/>
    </row>
    <row r="197" spans="1:9" x14ac:dyDescent="0.35">
      <c r="A197" s="12" t="s">
        <v>533</v>
      </c>
      <c r="B197" s="13" t="s">
        <v>67</v>
      </c>
      <c r="C197" s="12" t="s">
        <v>534</v>
      </c>
      <c r="D197" s="12" t="s">
        <v>532</v>
      </c>
      <c r="E197" s="13" t="s">
        <v>485</v>
      </c>
      <c r="F197" s="13" t="s">
        <v>76</v>
      </c>
      <c r="G197" s="14">
        <v>0</v>
      </c>
      <c r="H197" s="14">
        <v>145300</v>
      </c>
      <c r="I197" s="12"/>
    </row>
    <row r="198" spans="1:9" x14ac:dyDescent="0.35">
      <c r="A198" s="12" t="s">
        <v>535</v>
      </c>
      <c r="B198" s="13" t="s">
        <v>67</v>
      </c>
      <c r="C198" s="12" t="s">
        <v>536</v>
      </c>
      <c r="D198" s="12" t="s">
        <v>532</v>
      </c>
      <c r="E198" s="13" t="s">
        <v>485</v>
      </c>
      <c r="F198" s="13" t="s">
        <v>69</v>
      </c>
      <c r="G198" s="14">
        <v>0</v>
      </c>
      <c r="H198" s="14">
        <v>0</v>
      </c>
      <c r="I198" s="15" t="s">
        <v>54</v>
      </c>
    </row>
    <row r="199" spans="1:9" x14ac:dyDescent="0.35">
      <c r="A199" s="9" t="s">
        <v>537</v>
      </c>
      <c r="B199" s="10" t="s">
        <v>63</v>
      </c>
      <c r="C199" s="9" t="s">
        <v>538</v>
      </c>
      <c r="D199" s="9" t="s">
        <v>539</v>
      </c>
      <c r="E199" s="10"/>
      <c r="F199" s="10"/>
      <c r="G199" s="11">
        <f>SUMIFS($G$2:$G$455,$A$2:$A$455,"100.045.*",$B$2:$B$455,"Sottoconto")</f>
        <v>0</v>
      </c>
      <c r="H199" s="11">
        <f>SUMIFS($H$2:$H$455,$A$2:$A$455,"100.045.*",$B$2:$B$455,"Sottoconto")</f>
        <v>0</v>
      </c>
      <c r="I199" s="9"/>
    </row>
    <row r="200" spans="1:9" x14ac:dyDescent="0.35">
      <c r="A200" s="12" t="s">
        <v>540</v>
      </c>
      <c r="B200" s="13" t="s">
        <v>67</v>
      </c>
      <c r="C200" s="12" t="s">
        <v>541</v>
      </c>
      <c r="D200" s="12" t="s">
        <v>539</v>
      </c>
      <c r="E200" s="13" t="s">
        <v>485</v>
      </c>
      <c r="F200" s="13" t="s">
        <v>76</v>
      </c>
      <c r="G200" s="14">
        <v>0</v>
      </c>
      <c r="H200" s="14">
        <v>0</v>
      </c>
      <c r="I200" s="12"/>
    </row>
    <row r="201" spans="1:9" x14ac:dyDescent="0.35">
      <c r="A201" s="12" t="s">
        <v>542</v>
      </c>
      <c r="B201" s="13" t="s">
        <v>67</v>
      </c>
      <c r="C201" s="12" t="s">
        <v>543</v>
      </c>
      <c r="D201" s="12" t="s">
        <v>539</v>
      </c>
      <c r="E201" s="13" t="s">
        <v>485</v>
      </c>
      <c r="F201" s="13" t="s">
        <v>69</v>
      </c>
      <c r="G201" s="14">
        <v>0</v>
      </c>
      <c r="H201" s="14">
        <v>0</v>
      </c>
      <c r="I201" s="15" t="s">
        <v>54</v>
      </c>
    </row>
    <row r="202" spans="1:9" x14ac:dyDescent="0.35">
      <c r="A202" s="9" t="s">
        <v>544</v>
      </c>
      <c r="B202" s="10" t="s">
        <v>63</v>
      </c>
      <c r="C202" s="9" t="s">
        <v>545</v>
      </c>
      <c r="D202" s="9" t="s">
        <v>546</v>
      </c>
      <c r="E202" s="10"/>
      <c r="F202" s="10"/>
      <c r="G202" s="11">
        <f>SUMIFS($G$2:$G$455,$A$2:$A$455,"100.050.*",$B$2:$B$455,"Sottoconto")</f>
        <v>0</v>
      </c>
      <c r="H202" s="11">
        <f>SUMIFS($H$2:$H$455,$A$2:$A$455,"100.050.*",$B$2:$B$455,"Sottoconto")</f>
        <v>0</v>
      </c>
      <c r="I202" s="16" t="s">
        <v>527</v>
      </c>
    </row>
    <row r="203" spans="1:9" x14ac:dyDescent="0.35">
      <c r="A203" s="12" t="s">
        <v>547</v>
      </c>
      <c r="B203" s="13" t="s">
        <v>67</v>
      </c>
      <c r="C203" s="12" t="s">
        <v>548</v>
      </c>
      <c r="D203" s="12" t="s">
        <v>546</v>
      </c>
      <c r="E203" s="13" t="s">
        <v>485</v>
      </c>
      <c r="F203" s="13" t="s">
        <v>69</v>
      </c>
      <c r="G203" s="14">
        <v>0</v>
      </c>
      <c r="H203" s="14">
        <v>0</v>
      </c>
      <c r="I203" s="15" t="s">
        <v>549</v>
      </c>
    </row>
    <row r="204" spans="1:9" x14ac:dyDescent="0.35">
      <c r="A204" s="6" t="s">
        <v>550</v>
      </c>
      <c r="B204" s="7" t="s">
        <v>58</v>
      </c>
      <c r="C204" s="6" t="s">
        <v>551</v>
      </c>
      <c r="D204" s="6" t="s">
        <v>552</v>
      </c>
      <c r="E204" s="7" t="s">
        <v>553</v>
      </c>
      <c r="F204" s="7"/>
      <c r="G204" s="8">
        <f>SUMIFS($G$2:$G$455,$A$2:$A$455,"110.*",$B$2:$B$455,"Sottoconto")</f>
        <v>0</v>
      </c>
      <c r="H204" s="8">
        <f>SUMIFS($H$2:$H$455,$A$2:$A$455,"110.*",$B$2:$B$455,"Sottoconto")</f>
        <v>45000</v>
      </c>
      <c r="I204" s="6"/>
    </row>
    <row r="205" spans="1:9" x14ac:dyDescent="0.35">
      <c r="A205" s="9" t="s">
        <v>554</v>
      </c>
      <c r="B205" s="10" t="s">
        <v>63</v>
      </c>
      <c r="C205" s="9" t="s">
        <v>555</v>
      </c>
      <c r="D205" s="9" t="s">
        <v>556</v>
      </c>
      <c r="E205" s="10"/>
      <c r="F205" s="10"/>
      <c r="G205" s="11">
        <f>SUMIFS($G$2:$G$455,$A$2:$A$455,"110.005.*",$B$2:$B$455,"Sottoconto")</f>
        <v>0</v>
      </c>
      <c r="H205" s="11">
        <f>SUMIFS($H$2:$H$455,$A$2:$A$455,"110.005.*",$B$2:$B$455,"Sottoconto")</f>
        <v>0</v>
      </c>
      <c r="I205" s="9"/>
    </row>
    <row r="206" spans="1:9" x14ac:dyDescent="0.35">
      <c r="A206" s="12" t="s">
        <v>557</v>
      </c>
      <c r="B206" s="13" t="s">
        <v>67</v>
      </c>
      <c r="C206" s="12" t="s">
        <v>558</v>
      </c>
      <c r="D206" s="12" t="s">
        <v>556</v>
      </c>
      <c r="E206" s="13" t="s">
        <v>553</v>
      </c>
      <c r="F206" s="13" t="s">
        <v>76</v>
      </c>
      <c r="G206" s="14">
        <v>0</v>
      </c>
      <c r="H206" s="14">
        <v>0</v>
      </c>
      <c r="I206" s="12"/>
    </row>
    <row r="207" spans="1:9" x14ac:dyDescent="0.35">
      <c r="A207" s="9" t="s">
        <v>559</v>
      </c>
      <c r="B207" s="10" t="s">
        <v>63</v>
      </c>
      <c r="C207" s="9" t="s">
        <v>560</v>
      </c>
      <c r="D207" s="9" t="s">
        <v>561</v>
      </c>
      <c r="E207" s="10"/>
      <c r="F207" s="10"/>
      <c r="G207" s="11">
        <f>SUMIFS($G$2:$G$455,$A$2:$A$455,"110.010.*",$B$2:$B$455,"Sottoconto")</f>
        <v>0</v>
      </c>
      <c r="H207" s="11">
        <f>SUMIFS($H$2:$H$455,$A$2:$A$455,"110.010.*",$B$2:$B$455,"Sottoconto")</f>
        <v>12000</v>
      </c>
      <c r="I207" s="9"/>
    </row>
    <row r="208" spans="1:9" x14ac:dyDescent="0.35">
      <c r="A208" s="12" t="s">
        <v>562</v>
      </c>
      <c r="B208" s="13" t="s">
        <v>67</v>
      </c>
      <c r="C208" s="12" t="s">
        <v>563</v>
      </c>
      <c r="D208" s="12" t="s">
        <v>561</v>
      </c>
      <c r="E208" s="13" t="s">
        <v>553</v>
      </c>
      <c r="F208" s="13" t="s">
        <v>76</v>
      </c>
      <c r="G208" s="14">
        <v>0</v>
      </c>
      <c r="H208" s="14">
        <v>12000</v>
      </c>
      <c r="I208" s="15" t="s">
        <v>394</v>
      </c>
    </row>
    <row r="209" spans="1:9" x14ac:dyDescent="0.35">
      <c r="A209" s="9" t="s">
        <v>564</v>
      </c>
      <c r="B209" s="10" t="s">
        <v>63</v>
      </c>
      <c r="C209" s="9" t="s">
        <v>565</v>
      </c>
      <c r="D209" s="9" t="s">
        <v>566</v>
      </c>
      <c r="E209" s="10"/>
      <c r="F209" s="10"/>
      <c r="G209" s="11">
        <f>SUMIFS($G$2:$G$455,$A$2:$A$455,"110.015.*",$B$2:$B$455,"Sottoconto")</f>
        <v>0</v>
      </c>
      <c r="H209" s="11">
        <f>SUMIFS($H$2:$H$455,$A$2:$A$455,"110.015.*",$B$2:$B$455,"Sottoconto")</f>
        <v>0</v>
      </c>
      <c r="I209" s="9"/>
    </row>
    <row r="210" spans="1:9" x14ac:dyDescent="0.35">
      <c r="A210" s="12" t="s">
        <v>567</v>
      </c>
      <c r="B210" s="13" t="s">
        <v>67</v>
      </c>
      <c r="C210" s="12" t="s">
        <v>568</v>
      </c>
      <c r="D210" s="12" t="s">
        <v>566</v>
      </c>
      <c r="E210" s="13" t="s">
        <v>553</v>
      </c>
      <c r="F210" s="13" t="s">
        <v>76</v>
      </c>
      <c r="G210" s="14">
        <v>0</v>
      </c>
      <c r="H210" s="14">
        <v>0</v>
      </c>
      <c r="I210" s="12"/>
    </row>
    <row r="211" spans="1:9" x14ac:dyDescent="0.35">
      <c r="A211" s="9" t="s">
        <v>569</v>
      </c>
      <c r="B211" s="10" t="s">
        <v>63</v>
      </c>
      <c r="C211" s="9" t="s">
        <v>570</v>
      </c>
      <c r="D211" s="9" t="s">
        <v>571</v>
      </c>
      <c r="E211" s="10"/>
      <c r="F211" s="10"/>
      <c r="G211" s="11">
        <f>SUMIFS($G$2:$G$455,$A$2:$A$455,"110.020.*",$B$2:$B$455,"Sottoconto")</f>
        <v>0</v>
      </c>
      <c r="H211" s="11">
        <f>SUMIFS($H$2:$H$455,$A$2:$A$455,"110.020.*",$B$2:$B$455,"Sottoconto")</f>
        <v>33000</v>
      </c>
      <c r="I211" s="9"/>
    </row>
    <row r="212" spans="1:9" x14ac:dyDescent="0.35">
      <c r="A212" s="12" t="s">
        <v>572</v>
      </c>
      <c r="B212" s="13" t="s">
        <v>67</v>
      </c>
      <c r="C212" s="12" t="s">
        <v>573</v>
      </c>
      <c r="D212" s="12" t="s">
        <v>571</v>
      </c>
      <c r="E212" s="13" t="s">
        <v>553</v>
      </c>
      <c r="F212" s="13" t="s">
        <v>76</v>
      </c>
      <c r="G212" s="14">
        <v>0</v>
      </c>
      <c r="H212" s="14">
        <v>8000</v>
      </c>
      <c r="I212" s="12"/>
    </row>
    <row r="213" spans="1:9" x14ac:dyDescent="0.35">
      <c r="A213" s="12" t="s">
        <v>574</v>
      </c>
      <c r="B213" s="13" t="s">
        <v>67</v>
      </c>
      <c r="C213" s="12" t="s">
        <v>575</v>
      </c>
      <c r="D213" s="12" t="s">
        <v>571</v>
      </c>
      <c r="E213" s="13" t="s">
        <v>553</v>
      </c>
      <c r="F213" s="13" t="s">
        <v>76</v>
      </c>
      <c r="G213" s="14">
        <v>0</v>
      </c>
      <c r="H213" s="14">
        <v>0</v>
      </c>
      <c r="I213" s="12"/>
    </row>
    <row r="214" spans="1:9" x14ac:dyDescent="0.35">
      <c r="A214" s="12" t="s">
        <v>576</v>
      </c>
      <c r="B214" s="13" t="s">
        <v>67</v>
      </c>
      <c r="C214" s="12" t="s">
        <v>577</v>
      </c>
      <c r="D214" s="12" t="s">
        <v>571</v>
      </c>
      <c r="E214" s="13" t="s">
        <v>553</v>
      </c>
      <c r="F214" s="13" t="s">
        <v>76</v>
      </c>
      <c r="G214" s="14">
        <v>0</v>
      </c>
      <c r="H214" s="14">
        <v>0</v>
      </c>
      <c r="I214" s="12"/>
    </row>
    <row r="215" spans="1:9" x14ac:dyDescent="0.35">
      <c r="A215" s="12" t="s">
        <v>578</v>
      </c>
      <c r="B215" s="13" t="s">
        <v>67</v>
      </c>
      <c r="C215" s="12" t="s">
        <v>579</v>
      </c>
      <c r="D215" s="12" t="s">
        <v>571</v>
      </c>
      <c r="E215" s="13" t="s">
        <v>553</v>
      </c>
      <c r="F215" s="13" t="s">
        <v>76</v>
      </c>
      <c r="G215" s="14">
        <v>0</v>
      </c>
      <c r="H215" s="14">
        <v>25000</v>
      </c>
      <c r="I215" s="12"/>
    </row>
    <row r="216" spans="1:9" x14ac:dyDescent="0.35">
      <c r="A216" s="12" t="s">
        <v>580</v>
      </c>
      <c r="B216" s="13" t="s">
        <v>67</v>
      </c>
      <c r="C216" s="12" t="s">
        <v>581</v>
      </c>
      <c r="D216" s="12" t="s">
        <v>571</v>
      </c>
      <c r="E216" s="13" t="s">
        <v>553</v>
      </c>
      <c r="F216" s="13" t="s">
        <v>76</v>
      </c>
      <c r="G216" s="14">
        <v>0</v>
      </c>
      <c r="H216" s="14">
        <v>0</v>
      </c>
      <c r="I216" s="12"/>
    </row>
    <row r="217" spans="1:9" x14ac:dyDescent="0.35">
      <c r="A217" s="6" t="s">
        <v>582</v>
      </c>
      <c r="B217" s="7" t="s">
        <v>58</v>
      </c>
      <c r="C217" s="6" t="s">
        <v>583</v>
      </c>
      <c r="D217" s="6" t="s">
        <v>584</v>
      </c>
      <c r="E217" s="7" t="s">
        <v>553</v>
      </c>
      <c r="F217" s="7"/>
      <c r="G217" s="8">
        <f>SUMIFS($G$2:$G$455,$A$2:$A$455,"120.*",$B$2:$B$455,"Sottoconto")</f>
        <v>0</v>
      </c>
      <c r="H217" s="8">
        <f>SUMIFS($H$2:$H$455,$A$2:$A$455,"120.*",$B$2:$B$455,"Sottoconto")</f>
        <v>145000</v>
      </c>
      <c r="I217" s="6"/>
    </row>
    <row r="218" spans="1:9" x14ac:dyDescent="0.35">
      <c r="A218" s="9" t="s">
        <v>585</v>
      </c>
      <c r="B218" s="10" t="s">
        <v>63</v>
      </c>
      <c r="C218" s="9" t="s">
        <v>586</v>
      </c>
      <c r="D218" s="9" t="s">
        <v>584</v>
      </c>
      <c r="E218" s="10"/>
      <c r="F218" s="10"/>
      <c r="G218" s="11">
        <f>SUMIFS($G$2:$G$455,$A$2:$A$455,"120.005.*",$B$2:$B$455,"Sottoconto")</f>
        <v>0</v>
      </c>
      <c r="H218" s="11">
        <f>SUMIFS($H$2:$H$455,$A$2:$A$455,"120.005.*",$B$2:$B$455,"Sottoconto")</f>
        <v>145000</v>
      </c>
      <c r="I218" s="9"/>
    </row>
    <row r="219" spans="1:9" x14ac:dyDescent="0.35">
      <c r="A219" s="12" t="s">
        <v>587</v>
      </c>
      <c r="B219" s="13" t="s">
        <v>67</v>
      </c>
      <c r="C219" s="12" t="s">
        <v>588</v>
      </c>
      <c r="D219" s="12" t="s">
        <v>584</v>
      </c>
      <c r="E219" s="13" t="s">
        <v>553</v>
      </c>
      <c r="F219" s="13" t="s">
        <v>76</v>
      </c>
      <c r="G219" s="14">
        <v>0</v>
      </c>
      <c r="H219" s="14">
        <v>145000</v>
      </c>
      <c r="I219" s="15" t="s">
        <v>589</v>
      </c>
    </row>
    <row r="220" spans="1:9" x14ac:dyDescent="0.35">
      <c r="A220" s="6" t="s">
        <v>590</v>
      </c>
      <c r="B220" s="7" t="s">
        <v>58</v>
      </c>
      <c r="C220" s="6" t="s">
        <v>591</v>
      </c>
      <c r="D220" s="6" t="s">
        <v>69</v>
      </c>
      <c r="E220" s="7" t="s">
        <v>553</v>
      </c>
      <c r="F220" s="7"/>
      <c r="G220" s="8">
        <f>SUMIFS($G$2:$G$455,$A$2:$A$455,"130.*",$B$2:$B$455,"Sottoconto")</f>
        <v>0</v>
      </c>
      <c r="H220" s="8">
        <f>SUMIFS($H$2:$H$455,$A$2:$A$455,"130.*",$B$2:$B$455,"Sottoconto")</f>
        <v>1761800</v>
      </c>
      <c r="I220" s="6"/>
    </row>
    <row r="221" spans="1:9" x14ac:dyDescent="0.35">
      <c r="A221" s="9" t="s">
        <v>592</v>
      </c>
      <c r="B221" s="10" t="s">
        <v>63</v>
      </c>
      <c r="C221" s="9" t="s">
        <v>593</v>
      </c>
      <c r="D221" s="9" t="s">
        <v>594</v>
      </c>
      <c r="E221" s="10"/>
      <c r="F221" s="10"/>
      <c r="G221" s="11">
        <f>SUMIFS($G$2:$G$455,$A$2:$A$455,"130.005.*",$B$2:$B$455,"Sottoconto")</f>
        <v>0</v>
      </c>
      <c r="H221" s="11">
        <f>SUMIFS($H$2:$H$455,$A$2:$A$455,"130.005.*",$B$2:$B$455,"Sottoconto")</f>
        <v>0</v>
      </c>
      <c r="I221" s="9"/>
    </row>
    <row r="222" spans="1:9" x14ac:dyDescent="0.35">
      <c r="A222" s="12" t="s">
        <v>595</v>
      </c>
      <c r="B222" s="13" t="s">
        <v>67</v>
      </c>
      <c r="C222" s="12" t="s">
        <v>596</v>
      </c>
      <c r="D222" s="12" t="s">
        <v>594</v>
      </c>
      <c r="E222" s="13" t="s">
        <v>553</v>
      </c>
      <c r="F222" s="13" t="s">
        <v>76</v>
      </c>
      <c r="G222" s="14">
        <v>0</v>
      </c>
      <c r="H222" s="14">
        <v>0</v>
      </c>
      <c r="I222" s="12"/>
    </row>
    <row r="223" spans="1:9" x14ac:dyDescent="0.35">
      <c r="A223" s="12" t="s">
        <v>597</v>
      </c>
      <c r="B223" s="13" t="s">
        <v>67</v>
      </c>
      <c r="C223" s="12" t="s">
        <v>598</v>
      </c>
      <c r="D223" s="12" t="s">
        <v>599</v>
      </c>
      <c r="E223" s="13" t="s">
        <v>553</v>
      </c>
      <c r="F223" s="13" t="s">
        <v>76</v>
      </c>
      <c r="G223" s="14">
        <v>0</v>
      </c>
      <c r="H223" s="14">
        <v>0</v>
      </c>
      <c r="I223" s="12"/>
    </row>
    <row r="224" spans="1:9" x14ac:dyDescent="0.35">
      <c r="A224" s="9" t="s">
        <v>600</v>
      </c>
      <c r="B224" s="10" t="s">
        <v>63</v>
      </c>
      <c r="C224" s="9" t="s">
        <v>601</v>
      </c>
      <c r="D224" s="9" t="s">
        <v>602</v>
      </c>
      <c r="E224" s="10"/>
      <c r="F224" s="10"/>
      <c r="G224" s="11">
        <f>SUMIFS($G$2:$G$455,$A$2:$A$455,"130.010.*",$B$2:$B$455,"Sottoconto")</f>
        <v>0</v>
      </c>
      <c r="H224" s="11">
        <f>SUMIFS($H$2:$H$455,$A$2:$A$455,"130.010.*",$B$2:$B$455,"Sottoconto")</f>
        <v>100000</v>
      </c>
      <c r="I224" s="9"/>
    </row>
    <row r="225" spans="1:9" x14ac:dyDescent="0.35">
      <c r="A225" s="12" t="s">
        <v>603</v>
      </c>
      <c r="B225" s="13" t="s">
        <v>67</v>
      </c>
      <c r="C225" s="12" t="s">
        <v>604</v>
      </c>
      <c r="D225" s="12" t="s">
        <v>602</v>
      </c>
      <c r="E225" s="13" t="s">
        <v>553</v>
      </c>
      <c r="F225" s="13" t="s">
        <v>76</v>
      </c>
      <c r="G225" s="14">
        <v>0</v>
      </c>
      <c r="H225" s="14">
        <v>100000</v>
      </c>
      <c r="I225" s="15" t="s">
        <v>605</v>
      </c>
    </row>
    <row r="226" spans="1:9" x14ac:dyDescent="0.35">
      <c r="A226" s="12" t="s">
        <v>606</v>
      </c>
      <c r="B226" s="13" t="s">
        <v>67</v>
      </c>
      <c r="C226" s="12" t="s">
        <v>607</v>
      </c>
      <c r="D226" s="12" t="s">
        <v>602</v>
      </c>
      <c r="E226" s="13" t="s">
        <v>553</v>
      </c>
      <c r="F226" s="13" t="s">
        <v>76</v>
      </c>
      <c r="G226" s="14">
        <v>0</v>
      </c>
      <c r="H226" s="14">
        <v>0</v>
      </c>
      <c r="I226" s="12"/>
    </row>
    <row r="227" spans="1:9" x14ac:dyDescent="0.35">
      <c r="A227" s="9" t="s">
        <v>608</v>
      </c>
      <c r="B227" s="10" t="s">
        <v>63</v>
      </c>
      <c r="C227" s="9" t="s">
        <v>609</v>
      </c>
      <c r="D227" s="9" t="s">
        <v>610</v>
      </c>
      <c r="E227" s="10"/>
      <c r="F227" s="10"/>
      <c r="G227" s="11">
        <f>SUMIFS($G$2:$G$455,$A$2:$A$455,"130.015.*",$B$2:$B$455,"Sottoconto")</f>
        <v>0</v>
      </c>
      <c r="H227" s="11">
        <f>SUMIFS($H$2:$H$455,$A$2:$A$455,"130.015.*",$B$2:$B$455,"Sottoconto")</f>
        <v>545000</v>
      </c>
      <c r="I227" s="9"/>
    </row>
    <row r="228" spans="1:9" x14ac:dyDescent="0.35">
      <c r="A228" s="12" t="s">
        <v>611</v>
      </c>
      <c r="B228" s="13" t="s">
        <v>67</v>
      </c>
      <c r="C228" s="12" t="s">
        <v>612</v>
      </c>
      <c r="D228" s="12" t="s">
        <v>610</v>
      </c>
      <c r="E228" s="13" t="s">
        <v>553</v>
      </c>
      <c r="F228" s="13" t="s">
        <v>76</v>
      </c>
      <c r="G228" s="14">
        <v>0</v>
      </c>
      <c r="H228" s="14">
        <v>35000</v>
      </c>
      <c r="I228" s="12"/>
    </row>
    <row r="229" spans="1:9" x14ac:dyDescent="0.35">
      <c r="A229" s="12" t="s">
        <v>613</v>
      </c>
      <c r="B229" s="13" t="s">
        <v>67</v>
      </c>
      <c r="C229" s="12" t="s">
        <v>614</v>
      </c>
      <c r="D229" s="12" t="s">
        <v>610</v>
      </c>
      <c r="E229" s="13" t="s">
        <v>553</v>
      </c>
      <c r="F229" s="13" t="s">
        <v>76</v>
      </c>
      <c r="G229" s="14">
        <v>0</v>
      </c>
      <c r="H229" s="14">
        <v>0</v>
      </c>
      <c r="I229" s="12"/>
    </row>
    <row r="230" spans="1:9" x14ac:dyDescent="0.35">
      <c r="A230" s="12" t="s">
        <v>615</v>
      </c>
      <c r="B230" s="13" t="s">
        <v>67</v>
      </c>
      <c r="C230" s="12" t="s">
        <v>616</v>
      </c>
      <c r="D230" s="12" t="s">
        <v>610</v>
      </c>
      <c r="E230" s="13" t="s">
        <v>553</v>
      </c>
      <c r="F230" s="13" t="s">
        <v>76</v>
      </c>
      <c r="G230" s="14">
        <v>0</v>
      </c>
      <c r="H230" s="14">
        <v>80000</v>
      </c>
      <c r="I230" s="12"/>
    </row>
    <row r="231" spans="1:9" x14ac:dyDescent="0.35">
      <c r="A231" s="12" t="s">
        <v>617</v>
      </c>
      <c r="B231" s="13" t="s">
        <v>67</v>
      </c>
      <c r="C231" s="12" t="s">
        <v>618</v>
      </c>
      <c r="D231" s="12" t="s">
        <v>610</v>
      </c>
      <c r="E231" s="13" t="s">
        <v>553</v>
      </c>
      <c r="F231" s="13" t="s">
        <v>76</v>
      </c>
      <c r="G231" s="14">
        <v>0</v>
      </c>
      <c r="H231" s="14">
        <v>380000</v>
      </c>
      <c r="I231" s="12"/>
    </row>
    <row r="232" spans="1:9" x14ac:dyDescent="0.35">
      <c r="A232" s="12" t="s">
        <v>619</v>
      </c>
      <c r="B232" s="13" t="s">
        <v>67</v>
      </c>
      <c r="C232" s="12" t="s">
        <v>620</v>
      </c>
      <c r="D232" s="12" t="s">
        <v>610</v>
      </c>
      <c r="E232" s="13" t="s">
        <v>553</v>
      </c>
      <c r="F232" s="13" t="s">
        <v>76</v>
      </c>
      <c r="G232" s="14">
        <v>0</v>
      </c>
      <c r="H232" s="14">
        <v>0</v>
      </c>
      <c r="I232" s="12"/>
    </row>
    <row r="233" spans="1:9" x14ac:dyDescent="0.35">
      <c r="A233" s="12" t="s">
        <v>621</v>
      </c>
      <c r="B233" s="13" t="s">
        <v>67</v>
      </c>
      <c r="C233" s="12" t="s">
        <v>622</v>
      </c>
      <c r="D233" s="12" t="s">
        <v>610</v>
      </c>
      <c r="E233" s="13" t="s">
        <v>553</v>
      </c>
      <c r="F233" s="13" t="s">
        <v>76</v>
      </c>
      <c r="G233" s="14">
        <v>0</v>
      </c>
      <c r="H233" s="14">
        <v>0</v>
      </c>
      <c r="I233" s="12"/>
    </row>
    <row r="234" spans="1:9" x14ac:dyDescent="0.35">
      <c r="A234" s="12" t="s">
        <v>623</v>
      </c>
      <c r="B234" s="13" t="s">
        <v>67</v>
      </c>
      <c r="C234" s="12" t="s">
        <v>624</v>
      </c>
      <c r="D234" s="12" t="s">
        <v>610</v>
      </c>
      <c r="E234" s="13" t="s">
        <v>553</v>
      </c>
      <c r="F234" s="13" t="s">
        <v>76</v>
      </c>
      <c r="G234" s="14">
        <v>0</v>
      </c>
      <c r="H234" s="14">
        <v>50000</v>
      </c>
      <c r="I234" s="12"/>
    </row>
    <row r="235" spans="1:9" x14ac:dyDescent="0.35">
      <c r="A235" s="9" t="s">
        <v>625</v>
      </c>
      <c r="B235" s="10" t="s">
        <v>63</v>
      </c>
      <c r="C235" s="9" t="s">
        <v>626</v>
      </c>
      <c r="D235" s="9" t="s">
        <v>627</v>
      </c>
      <c r="E235" s="10"/>
      <c r="F235" s="10"/>
      <c r="G235" s="11">
        <f>SUMIFS($G$2:$G$455,$A$2:$A$455,"130.020.*",$B$2:$B$455,"Sottoconto")</f>
        <v>0</v>
      </c>
      <c r="H235" s="11">
        <f>SUMIFS($H$2:$H$455,$A$2:$A$455,"130.020.*",$B$2:$B$455,"Sottoconto")</f>
        <v>60000</v>
      </c>
      <c r="I235" s="9"/>
    </row>
    <row r="236" spans="1:9" x14ac:dyDescent="0.35">
      <c r="A236" s="12" t="s">
        <v>628</v>
      </c>
      <c r="B236" s="13" t="s">
        <v>67</v>
      </c>
      <c r="C236" s="12" t="s">
        <v>629</v>
      </c>
      <c r="D236" s="12" t="s">
        <v>627</v>
      </c>
      <c r="E236" s="13" t="s">
        <v>553</v>
      </c>
      <c r="F236" s="13" t="s">
        <v>76</v>
      </c>
      <c r="G236" s="14">
        <v>0</v>
      </c>
      <c r="H236" s="14">
        <v>0</v>
      </c>
      <c r="I236" s="12"/>
    </row>
    <row r="237" spans="1:9" x14ac:dyDescent="0.35">
      <c r="A237" s="12" t="s">
        <v>630</v>
      </c>
      <c r="B237" s="13" t="s">
        <v>67</v>
      </c>
      <c r="C237" s="12" t="s">
        <v>631</v>
      </c>
      <c r="D237" s="12" t="s">
        <v>627</v>
      </c>
      <c r="E237" s="13" t="s">
        <v>553</v>
      </c>
      <c r="F237" s="13" t="s">
        <v>76</v>
      </c>
      <c r="G237" s="14">
        <v>0</v>
      </c>
      <c r="H237" s="14">
        <v>60000</v>
      </c>
      <c r="I237" s="12"/>
    </row>
    <row r="238" spans="1:9" x14ac:dyDescent="0.35">
      <c r="A238" s="12" t="s">
        <v>632</v>
      </c>
      <c r="B238" s="13" t="s">
        <v>67</v>
      </c>
      <c r="C238" s="12" t="s">
        <v>633</v>
      </c>
      <c r="D238" s="12" t="s">
        <v>627</v>
      </c>
      <c r="E238" s="13" t="s">
        <v>553</v>
      </c>
      <c r="F238" s="13" t="s">
        <v>76</v>
      </c>
      <c r="G238" s="14">
        <v>0</v>
      </c>
      <c r="H238" s="14">
        <v>0</v>
      </c>
      <c r="I238" s="12"/>
    </row>
    <row r="239" spans="1:9" x14ac:dyDescent="0.35">
      <c r="A239" s="9" t="s">
        <v>634</v>
      </c>
      <c r="B239" s="10" t="s">
        <v>63</v>
      </c>
      <c r="C239" s="9" t="s">
        <v>635</v>
      </c>
      <c r="D239" s="9" t="s">
        <v>636</v>
      </c>
      <c r="E239" s="10"/>
      <c r="F239" s="10"/>
      <c r="G239" s="11">
        <f>SUMIFS($G$2:$G$455,$A$2:$A$455,"130.025.*",$B$2:$B$455,"Sottoconto")</f>
        <v>0</v>
      </c>
      <c r="H239" s="11">
        <f>SUMIFS($H$2:$H$455,$A$2:$A$455,"130.025.*",$B$2:$B$455,"Sottoconto")</f>
        <v>25000</v>
      </c>
      <c r="I239" s="9"/>
    </row>
    <row r="240" spans="1:9" x14ac:dyDescent="0.35">
      <c r="A240" s="12" t="s">
        <v>637</v>
      </c>
      <c r="B240" s="13" t="s">
        <v>67</v>
      </c>
      <c r="C240" s="12" t="s">
        <v>638</v>
      </c>
      <c r="D240" s="12" t="s">
        <v>636</v>
      </c>
      <c r="E240" s="13" t="s">
        <v>553</v>
      </c>
      <c r="F240" s="13" t="s">
        <v>76</v>
      </c>
      <c r="G240" s="14">
        <v>0</v>
      </c>
      <c r="H240" s="14">
        <v>25000</v>
      </c>
      <c r="I240" s="12"/>
    </row>
    <row r="241" spans="1:9" x14ac:dyDescent="0.35">
      <c r="A241" s="9" t="s">
        <v>639</v>
      </c>
      <c r="B241" s="10" t="s">
        <v>63</v>
      </c>
      <c r="C241" s="9" t="s">
        <v>640</v>
      </c>
      <c r="D241" s="9" t="s">
        <v>641</v>
      </c>
      <c r="E241" s="10"/>
      <c r="F241" s="10"/>
      <c r="G241" s="11">
        <f>SUMIFS($G$2:$G$455,$A$2:$A$455,"130.030.*",$B$2:$B$455,"Sottoconto")</f>
        <v>0</v>
      </c>
      <c r="H241" s="11">
        <f>SUMIFS($H$2:$H$455,$A$2:$A$455,"130.030.*",$B$2:$B$455,"Sottoconto")</f>
        <v>775000</v>
      </c>
      <c r="I241" s="9"/>
    </row>
    <row r="242" spans="1:9" x14ac:dyDescent="0.35">
      <c r="A242" s="12" t="s">
        <v>642</v>
      </c>
      <c r="B242" s="13" t="s">
        <v>67</v>
      </c>
      <c r="C242" s="12" t="s">
        <v>643</v>
      </c>
      <c r="D242" s="12" t="s">
        <v>641</v>
      </c>
      <c r="E242" s="13" t="s">
        <v>553</v>
      </c>
      <c r="F242" s="13" t="s">
        <v>76</v>
      </c>
      <c r="G242" s="14">
        <v>0</v>
      </c>
      <c r="H242" s="14">
        <v>580000</v>
      </c>
      <c r="I242" s="12"/>
    </row>
    <row r="243" spans="1:9" x14ac:dyDescent="0.35">
      <c r="A243" s="12" t="s">
        <v>644</v>
      </c>
      <c r="B243" s="13" t="s">
        <v>67</v>
      </c>
      <c r="C243" s="12" t="s">
        <v>645</v>
      </c>
      <c r="D243" s="12" t="s">
        <v>641</v>
      </c>
      <c r="E243" s="13" t="s">
        <v>553</v>
      </c>
      <c r="F243" s="13" t="s">
        <v>76</v>
      </c>
      <c r="G243" s="14">
        <v>0</v>
      </c>
      <c r="H243" s="14">
        <v>95000</v>
      </c>
      <c r="I243" s="12"/>
    </row>
    <row r="244" spans="1:9" x14ac:dyDescent="0.35">
      <c r="A244" s="12" t="s">
        <v>646</v>
      </c>
      <c r="B244" s="13" t="s">
        <v>67</v>
      </c>
      <c r="C244" s="12" t="s">
        <v>647</v>
      </c>
      <c r="D244" s="12" t="s">
        <v>641</v>
      </c>
      <c r="E244" s="13" t="s">
        <v>553</v>
      </c>
      <c r="F244" s="13" t="s">
        <v>76</v>
      </c>
      <c r="G244" s="14">
        <v>0</v>
      </c>
      <c r="H244" s="14">
        <v>35000</v>
      </c>
      <c r="I244" s="12"/>
    </row>
    <row r="245" spans="1:9" x14ac:dyDescent="0.35">
      <c r="A245" s="12" t="s">
        <v>648</v>
      </c>
      <c r="B245" s="13" t="s">
        <v>67</v>
      </c>
      <c r="C245" s="12" t="s">
        <v>649</v>
      </c>
      <c r="D245" s="12" t="s">
        <v>641</v>
      </c>
      <c r="E245" s="13" t="s">
        <v>553</v>
      </c>
      <c r="F245" s="13" t="s">
        <v>76</v>
      </c>
      <c r="G245" s="14">
        <v>0</v>
      </c>
      <c r="H245" s="14">
        <v>65000</v>
      </c>
      <c r="I245" s="12"/>
    </row>
    <row r="246" spans="1:9" x14ac:dyDescent="0.35">
      <c r="A246" s="12" t="s">
        <v>650</v>
      </c>
      <c r="B246" s="13" t="s">
        <v>67</v>
      </c>
      <c r="C246" s="12" t="s">
        <v>651</v>
      </c>
      <c r="D246" s="12" t="s">
        <v>641</v>
      </c>
      <c r="E246" s="13" t="s">
        <v>553</v>
      </c>
      <c r="F246" s="13" t="s">
        <v>69</v>
      </c>
      <c r="G246" s="14">
        <v>0</v>
      </c>
      <c r="H246" s="14">
        <v>0</v>
      </c>
      <c r="I246" s="15" t="s">
        <v>54</v>
      </c>
    </row>
    <row r="247" spans="1:9" x14ac:dyDescent="0.35">
      <c r="A247" s="12" t="s">
        <v>652</v>
      </c>
      <c r="B247" s="13" t="s">
        <v>67</v>
      </c>
      <c r="C247" s="12" t="s">
        <v>653</v>
      </c>
      <c r="D247" s="12" t="s">
        <v>641</v>
      </c>
      <c r="E247" s="13" t="s">
        <v>553</v>
      </c>
      <c r="F247" s="13" t="s">
        <v>76</v>
      </c>
      <c r="G247" s="14">
        <v>0</v>
      </c>
      <c r="H247" s="14">
        <v>0</v>
      </c>
      <c r="I247" s="12"/>
    </row>
    <row r="248" spans="1:9" x14ac:dyDescent="0.35">
      <c r="A248" s="9" t="s">
        <v>654</v>
      </c>
      <c r="B248" s="10" t="s">
        <v>63</v>
      </c>
      <c r="C248" s="9" t="s">
        <v>655</v>
      </c>
      <c r="D248" s="9" t="s">
        <v>656</v>
      </c>
      <c r="E248" s="10"/>
      <c r="F248" s="10"/>
      <c r="G248" s="11">
        <f>SUMIFS($G$2:$G$455,$A$2:$A$455,"130.035.*",$B$2:$B$455,"Sottoconto")</f>
        <v>0</v>
      </c>
      <c r="H248" s="11">
        <f>SUMIFS($H$2:$H$455,$A$2:$A$455,"130.035.*",$B$2:$B$455,"Sottoconto")</f>
        <v>0</v>
      </c>
      <c r="I248" s="9"/>
    </row>
    <row r="249" spans="1:9" x14ac:dyDescent="0.35">
      <c r="A249" s="12" t="s">
        <v>657</v>
      </c>
      <c r="B249" s="13" t="s">
        <v>67</v>
      </c>
      <c r="C249" s="12" t="s">
        <v>658</v>
      </c>
      <c r="D249" s="12" t="s">
        <v>656</v>
      </c>
      <c r="E249" s="13" t="s">
        <v>553</v>
      </c>
      <c r="F249" s="13" t="s">
        <v>76</v>
      </c>
      <c r="G249" s="14">
        <v>0</v>
      </c>
      <c r="H249" s="14">
        <v>0</v>
      </c>
      <c r="I249" s="12"/>
    </row>
    <row r="250" spans="1:9" x14ac:dyDescent="0.35">
      <c r="A250" s="9" t="s">
        <v>659</v>
      </c>
      <c r="B250" s="10" t="s">
        <v>63</v>
      </c>
      <c r="C250" s="9" t="s">
        <v>660</v>
      </c>
      <c r="D250" s="9" t="s">
        <v>661</v>
      </c>
      <c r="E250" s="10"/>
      <c r="F250" s="10"/>
      <c r="G250" s="11">
        <f>SUMIFS($G$2:$G$455,$A$2:$A$455,"130.040.*",$B$2:$B$455,"Sottoconto")</f>
        <v>0</v>
      </c>
      <c r="H250" s="11">
        <f>SUMIFS($H$2:$H$455,$A$2:$A$455,"130.040.*",$B$2:$B$455,"Sottoconto")</f>
        <v>0</v>
      </c>
      <c r="I250" s="9"/>
    </row>
    <row r="251" spans="1:9" x14ac:dyDescent="0.35">
      <c r="A251" s="12" t="s">
        <v>662</v>
      </c>
      <c r="B251" s="13" t="s">
        <v>67</v>
      </c>
      <c r="C251" s="12" t="s">
        <v>663</v>
      </c>
      <c r="D251" s="12" t="s">
        <v>661</v>
      </c>
      <c r="E251" s="13" t="s">
        <v>553</v>
      </c>
      <c r="F251" s="13" t="s">
        <v>76</v>
      </c>
      <c r="G251" s="14">
        <v>0</v>
      </c>
      <c r="H251" s="14">
        <v>0</v>
      </c>
      <c r="I251" s="12"/>
    </row>
    <row r="252" spans="1:9" x14ac:dyDescent="0.35">
      <c r="A252" s="12" t="s">
        <v>664</v>
      </c>
      <c r="B252" s="13" t="s">
        <v>67</v>
      </c>
      <c r="C252" s="12" t="s">
        <v>665</v>
      </c>
      <c r="D252" s="12" t="s">
        <v>661</v>
      </c>
      <c r="E252" s="13" t="s">
        <v>553</v>
      </c>
      <c r="F252" s="13" t="s">
        <v>76</v>
      </c>
      <c r="G252" s="14">
        <v>0</v>
      </c>
      <c r="H252" s="14">
        <v>0</v>
      </c>
      <c r="I252" s="12"/>
    </row>
    <row r="253" spans="1:9" x14ac:dyDescent="0.35">
      <c r="A253" s="9" t="s">
        <v>666</v>
      </c>
      <c r="B253" s="10" t="s">
        <v>63</v>
      </c>
      <c r="C253" s="9" t="s">
        <v>667</v>
      </c>
      <c r="D253" s="9" t="s">
        <v>668</v>
      </c>
      <c r="E253" s="10"/>
      <c r="F253" s="10"/>
      <c r="G253" s="11">
        <f>SUMIFS($G$2:$G$455,$A$2:$A$455,"130.045.*",$B$2:$B$455,"Sottoconto")</f>
        <v>0</v>
      </c>
      <c r="H253" s="11">
        <f>SUMIFS($H$2:$H$455,$A$2:$A$455,"130.045.*",$B$2:$B$455,"Sottoconto")</f>
        <v>0</v>
      </c>
      <c r="I253" s="9"/>
    </row>
    <row r="254" spans="1:9" x14ac:dyDescent="0.35">
      <c r="A254" s="12" t="s">
        <v>669</v>
      </c>
      <c r="B254" s="13" t="s">
        <v>67</v>
      </c>
      <c r="C254" s="12" t="s">
        <v>670</v>
      </c>
      <c r="D254" s="12" t="s">
        <v>668</v>
      </c>
      <c r="E254" s="13" t="s">
        <v>553</v>
      </c>
      <c r="F254" s="13" t="s">
        <v>76</v>
      </c>
      <c r="G254" s="14">
        <v>0</v>
      </c>
      <c r="H254" s="14">
        <v>0</v>
      </c>
      <c r="I254" s="12"/>
    </row>
    <row r="255" spans="1:9" x14ac:dyDescent="0.35">
      <c r="A255" s="9" t="s">
        <v>671</v>
      </c>
      <c r="B255" s="10" t="s">
        <v>63</v>
      </c>
      <c r="C255" s="9" t="s">
        <v>672</v>
      </c>
      <c r="D255" s="9" t="s">
        <v>673</v>
      </c>
      <c r="E255" s="10"/>
      <c r="F255" s="10"/>
      <c r="G255" s="11">
        <f>SUMIFS($G$2:$G$455,$A$2:$A$455,"130.050.*",$B$2:$B$455,"Sottoconto")</f>
        <v>0</v>
      </c>
      <c r="H255" s="11">
        <f>SUMIFS($H$2:$H$455,$A$2:$A$455,"130.050.*",$B$2:$B$455,"Sottoconto")</f>
        <v>0</v>
      </c>
      <c r="I255" s="9"/>
    </row>
    <row r="256" spans="1:9" x14ac:dyDescent="0.35">
      <c r="A256" s="12" t="s">
        <v>674</v>
      </c>
      <c r="B256" s="13" t="s">
        <v>67</v>
      </c>
      <c r="C256" s="12" t="s">
        <v>675</v>
      </c>
      <c r="D256" s="12" t="s">
        <v>673</v>
      </c>
      <c r="E256" s="13" t="s">
        <v>553</v>
      </c>
      <c r="F256" s="13" t="s">
        <v>76</v>
      </c>
      <c r="G256" s="14">
        <v>0</v>
      </c>
      <c r="H256" s="14">
        <v>0</v>
      </c>
      <c r="I256" s="12"/>
    </row>
    <row r="257" spans="1:9" x14ac:dyDescent="0.35">
      <c r="A257" s="9" t="s">
        <v>676</v>
      </c>
      <c r="B257" s="10" t="s">
        <v>63</v>
      </c>
      <c r="C257" s="9" t="s">
        <v>677</v>
      </c>
      <c r="D257" s="9" t="s">
        <v>678</v>
      </c>
      <c r="E257" s="10"/>
      <c r="F257" s="10"/>
      <c r="G257" s="11">
        <f>SUMIFS($G$2:$G$455,$A$2:$A$455,"130.055.*",$B$2:$B$455,"Sottoconto")</f>
        <v>0</v>
      </c>
      <c r="H257" s="11">
        <f>SUMIFS($H$2:$H$455,$A$2:$A$455,"130.055.*",$B$2:$B$455,"Sottoconto")</f>
        <v>0</v>
      </c>
      <c r="I257" s="16" t="s">
        <v>257</v>
      </c>
    </row>
    <row r="258" spans="1:9" x14ac:dyDescent="0.35">
      <c r="A258" s="12" t="s">
        <v>679</v>
      </c>
      <c r="B258" s="13" t="s">
        <v>67</v>
      </c>
      <c r="C258" s="12" t="s">
        <v>677</v>
      </c>
      <c r="D258" s="12" t="s">
        <v>678</v>
      </c>
      <c r="E258" s="13" t="s">
        <v>553</v>
      </c>
      <c r="F258" s="13" t="s">
        <v>76</v>
      </c>
      <c r="G258" s="14">
        <v>0</v>
      </c>
      <c r="H258" s="14">
        <v>0</v>
      </c>
      <c r="I258" s="12"/>
    </row>
    <row r="259" spans="1:9" x14ac:dyDescent="0.35">
      <c r="A259" s="9" t="s">
        <v>680</v>
      </c>
      <c r="B259" s="10" t="s">
        <v>63</v>
      </c>
      <c r="C259" s="9" t="s">
        <v>681</v>
      </c>
      <c r="D259" s="9" t="s">
        <v>682</v>
      </c>
      <c r="E259" s="10"/>
      <c r="F259" s="10"/>
      <c r="G259" s="11">
        <f>SUMIFS($G$2:$G$455,$A$2:$A$455,"130.060.*",$B$2:$B$455,"Sottoconto")</f>
        <v>0</v>
      </c>
      <c r="H259" s="11">
        <f>SUMIFS($H$2:$H$455,$A$2:$A$455,"130.060.*",$B$2:$B$455,"Sottoconto")</f>
        <v>130500</v>
      </c>
      <c r="I259" s="9"/>
    </row>
    <row r="260" spans="1:9" x14ac:dyDescent="0.35">
      <c r="A260" s="12" t="s">
        <v>683</v>
      </c>
      <c r="B260" s="13" t="s">
        <v>67</v>
      </c>
      <c r="C260" s="12" t="s">
        <v>684</v>
      </c>
      <c r="D260" s="12" t="s">
        <v>682</v>
      </c>
      <c r="E260" s="13" t="s">
        <v>553</v>
      </c>
      <c r="F260" s="13" t="s">
        <v>76</v>
      </c>
      <c r="G260" s="14">
        <v>0</v>
      </c>
      <c r="H260" s="14">
        <v>0</v>
      </c>
      <c r="I260" s="12"/>
    </row>
    <row r="261" spans="1:9" x14ac:dyDescent="0.35">
      <c r="A261" s="12" t="s">
        <v>685</v>
      </c>
      <c r="B261" s="13" t="s">
        <v>67</v>
      </c>
      <c r="C261" s="12" t="s">
        <v>686</v>
      </c>
      <c r="D261" s="12" t="s">
        <v>682</v>
      </c>
      <c r="E261" s="13" t="s">
        <v>553</v>
      </c>
      <c r="F261" s="13" t="s">
        <v>76</v>
      </c>
      <c r="G261" s="14">
        <v>0</v>
      </c>
      <c r="H261" s="14">
        <v>75000</v>
      </c>
      <c r="I261" s="12"/>
    </row>
    <row r="262" spans="1:9" x14ac:dyDescent="0.35">
      <c r="A262" s="12" t="s">
        <v>687</v>
      </c>
      <c r="B262" s="13" t="s">
        <v>67</v>
      </c>
      <c r="C262" s="12" t="s">
        <v>688</v>
      </c>
      <c r="D262" s="12" t="s">
        <v>682</v>
      </c>
      <c r="E262" s="13" t="s">
        <v>553</v>
      </c>
      <c r="F262" s="13" t="s">
        <v>76</v>
      </c>
      <c r="G262" s="14">
        <v>0</v>
      </c>
      <c r="H262" s="14">
        <v>22000</v>
      </c>
      <c r="I262" s="12"/>
    </row>
    <row r="263" spans="1:9" x14ac:dyDescent="0.35">
      <c r="A263" s="12" t="s">
        <v>689</v>
      </c>
      <c r="B263" s="13" t="s">
        <v>67</v>
      </c>
      <c r="C263" s="12" t="s">
        <v>690</v>
      </c>
      <c r="D263" s="12" t="s">
        <v>682</v>
      </c>
      <c r="E263" s="13" t="s">
        <v>553</v>
      </c>
      <c r="F263" s="13" t="s">
        <v>76</v>
      </c>
      <c r="G263" s="14">
        <v>0</v>
      </c>
      <c r="H263" s="14">
        <v>28000</v>
      </c>
      <c r="I263" s="12"/>
    </row>
    <row r="264" spans="1:9" x14ac:dyDescent="0.35">
      <c r="A264" s="12" t="s">
        <v>691</v>
      </c>
      <c r="B264" s="13" t="s">
        <v>67</v>
      </c>
      <c r="C264" s="12" t="s">
        <v>692</v>
      </c>
      <c r="D264" s="12" t="s">
        <v>682</v>
      </c>
      <c r="E264" s="13" t="s">
        <v>553</v>
      </c>
      <c r="F264" s="13" t="s">
        <v>76</v>
      </c>
      <c r="G264" s="14">
        <v>0</v>
      </c>
      <c r="H264" s="14">
        <v>5500</v>
      </c>
      <c r="I264" s="12"/>
    </row>
    <row r="265" spans="1:9" x14ac:dyDescent="0.35">
      <c r="A265" s="12" t="s">
        <v>693</v>
      </c>
      <c r="B265" s="13" t="s">
        <v>67</v>
      </c>
      <c r="C265" s="12" t="s">
        <v>694</v>
      </c>
      <c r="D265" s="12" t="s">
        <v>682</v>
      </c>
      <c r="E265" s="13" t="s">
        <v>553</v>
      </c>
      <c r="F265" s="13" t="s">
        <v>76</v>
      </c>
      <c r="G265" s="14">
        <v>0</v>
      </c>
      <c r="H265" s="14">
        <v>0</v>
      </c>
      <c r="I265" s="12"/>
    </row>
    <row r="266" spans="1:9" x14ac:dyDescent="0.35">
      <c r="A266" s="12" t="s">
        <v>695</v>
      </c>
      <c r="B266" s="13" t="s">
        <v>67</v>
      </c>
      <c r="C266" s="12" t="s">
        <v>696</v>
      </c>
      <c r="D266" s="12" t="s">
        <v>682</v>
      </c>
      <c r="E266" s="13" t="s">
        <v>553</v>
      </c>
      <c r="F266" s="13" t="s">
        <v>76</v>
      </c>
      <c r="G266" s="14">
        <v>0</v>
      </c>
      <c r="H266" s="14">
        <v>0</v>
      </c>
      <c r="I266" s="12"/>
    </row>
    <row r="267" spans="1:9" x14ac:dyDescent="0.35">
      <c r="A267" s="9" t="s">
        <v>697</v>
      </c>
      <c r="B267" s="10" t="s">
        <v>63</v>
      </c>
      <c r="C267" s="9" t="s">
        <v>698</v>
      </c>
      <c r="D267" s="9" t="s">
        <v>699</v>
      </c>
      <c r="E267" s="10"/>
      <c r="F267" s="10"/>
      <c r="G267" s="11">
        <f>SUMIFS($G$2:$G$455,$A$2:$A$455,"130.065.*",$B$2:$B$455,"Sottoconto")</f>
        <v>0</v>
      </c>
      <c r="H267" s="11">
        <f>SUMIFS($H$2:$H$455,$A$2:$A$455,"130.065.*",$B$2:$B$455,"Sottoconto")</f>
        <v>39300</v>
      </c>
      <c r="I267" s="9"/>
    </row>
    <row r="268" spans="1:9" x14ac:dyDescent="0.35">
      <c r="A268" s="12" t="s">
        <v>700</v>
      </c>
      <c r="B268" s="13" t="s">
        <v>67</v>
      </c>
      <c r="C268" s="12" t="s">
        <v>701</v>
      </c>
      <c r="D268" s="12" t="s">
        <v>699</v>
      </c>
      <c r="E268" s="13" t="s">
        <v>553</v>
      </c>
      <c r="F268" s="13" t="s">
        <v>76</v>
      </c>
      <c r="G268" s="14">
        <v>0</v>
      </c>
      <c r="H268" s="14">
        <v>35000</v>
      </c>
      <c r="I268" s="12"/>
    </row>
    <row r="269" spans="1:9" x14ac:dyDescent="0.35">
      <c r="A269" s="12" t="s">
        <v>702</v>
      </c>
      <c r="B269" s="13" t="s">
        <v>67</v>
      </c>
      <c r="C269" s="12" t="s">
        <v>703</v>
      </c>
      <c r="D269" s="12" t="s">
        <v>699</v>
      </c>
      <c r="E269" s="13" t="s">
        <v>553</v>
      </c>
      <c r="F269" s="13" t="s">
        <v>76</v>
      </c>
      <c r="G269" s="14">
        <v>0</v>
      </c>
      <c r="H269" s="14">
        <v>0</v>
      </c>
      <c r="I269" s="12"/>
    </row>
    <row r="270" spans="1:9" x14ac:dyDescent="0.35">
      <c r="A270" s="12" t="s">
        <v>704</v>
      </c>
      <c r="B270" s="13" t="s">
        <v>67</v>
      </c>
      <c r="C270" s="12" t="s">
        <v>705</v>
      </c>
      <c r="D270" s="12" t="s">
        <v>699</v>
      </c>
      <c r="E270" s="13" t="s">
        <v>553</v>
      </c>
      <c r="F270" s="13" t="s">
        <v>76</v>
      </c>
      <c r="G270" s="14">
        <v>0</v>
      </c>
      <c r="H270" s="14">
        <v>1800</v>
      </c>
      <c r="I270" s="12"/>
    </row>
    <row r="271" spans="1:9" x14ac:dyDescent="0.35">
      <c r="A271" s="12" t="s">
        <v>706</v>
      </c>
      <c r="B271" s="13" t="s">
        <v>67</v>
      </c>
      <c r="C271" s="12" t="s">
        <v>707</v>
      </c>
      <c r="D271" s="12" t="s">
        <v>699</v>
      </c>
      <c r="E271" s="13" t="s">
        <v>553</v>
      </c>
      <c r="F271" s="13" t="s">
        <v>76</v>
      </c>
      <c r="G271" s="14">
        <v>0</v>
      </c>
      <c r="H271" s="14">
        <v>0</v>
      </c>
      <c r="I271" s="12"/>
    </row>
    <row r="272" spans="1:9" x14ac:dyDescent="0.35">
      <c r="A272" s="12" t="s">
        <v>708</v>
      </c>
      <c r="B272" s="13" t="s">
        <v>67</v>
      </c>
      <c r="C272" s="12" t="s">
        <v>709</v>
      </c>
      <c r="D272" s="12" t="s">
        <v>699</v>
      </c>
      <c r="E272" s="13" t="s">
        <v>553</v>
      </c>
      <c r="F272" s="13" t="s">
        <v>76</v>
      </c>
      <c r="G272" s="14">
        <v>0</v>
      </c>
      <c r="H272" s="14">
        <v>2500</v>
      </c>
      <c r="I272" s="12"/>
    </row>
    <row r="273" spans="1:9" x14ac:dyDescent="0.35">
      <c r="A273" s="9" t="s">
        <v>710</v>
      </c>
      <c r="B273" s="10" t="s">
        <v>63</v>
      </c>
      <c r="C273" s="9" t="s">
        <v>711</v>
      </c>
      <c r="D273" s="9" t="s">
        <v>712</v>
      </c>
      <c r="E273" s="10"/>
      <c r="F273" s="10"/>
      <c r="G273" s="11">
        <f>SUMIFS($G$2:$G$455,$A$2:$A$455,"130.070.*",$B$2:$B$455,"Sottoconto")</f>
        <v>0</v>
      </c>
      <c r="H273" s="11">
        <f>SUMIFS($H$2:$H$455,$A$2:$A$455,"130.070.*",$B$2:$B$455,"Sottoconto")</f>
        <v>87000</v>
      </c>
      <c r="I273" s="9"/>
    </row>
    <row r="274" spans="1:9" x14ac:dyDescent="0.35">
      <c r="A274" s="12" t="s">
        <v>713</v>
      </c>
      <c r="B274" s="13" t="s">
        <v>67</v>
      </c>
      <c r="C274" s="12" t="s">
        <v>714</v>
      </c>
      <c r="D274" s="12" t="s">
        <v>712</v>
      </c>
      <c r="E274" s="13" t="s">
        <v>553</v>
      </c>
      <c r="F274" s="13" t="s">
        <v>76</v>
      </c>
      <c r="G274" s="14">
        <v>0</v>
      </c>
      <c r="H274" s="14">
        <v>48000</v>
      </c>
      <c r="I274" s="12"/>
    </row>
    <row r="275" spans="1:9" x14ac:dyDescent="0.35">
      <c r="A275" s="12" t="s">
        <v>715</v>
      </c>
      <c r="B275" s="13" t="s">
        <v>67</v>
      </c>
      <c r="C275" s="12" t="s">
        <v>716</v>
      </c>
      <c r="D275" s="12" t="s">
        <v>712</v>
      </c>
      <c r="E275" s="13" t="s">
        <v>553</v>
      </c>
      <c r="F275" s="13" t="s">
        <v>76</v>
      </c>
      <c r="G275" s="14">
        <v>0</v>
      </c>
      <c r="H275" s="14">
        <v>22000</v>
      </c>
      <c r="I275" s="12"/>
    </row>
    <row r="276" spans="1:9" x14ac:dyDescent="0.35">
      <c r="A276" s="12" t="s">
        <v>717</v>
      </c>
      <c r="B276" s="13" t="s">
        <v>67</v>
      </c>
      <c r="C276" s="12" t="s">
        <v>718</v>
      </c>
      <c r="D276" s="12" t="s">
        <v>712</v>
      </c>
      <c r="E276" s="13" t="s">
        <v>553</v>
      </c>
      <c r="F276" s="13" t="s">
        <v>76</v>
      </c>
      <c r="G276" s="14">
        <v>0</v>
      </c>
      <c r="H276" s="14">
        <v>12000</v>
      </c>
      <c r="I276" s="12"/>
    </row>
    <row r="277" spans="1:9" x14ac:dyDescent="0.35">
      <c r="A277" s="12" t="s">
        <v>719</v>
      </c>
      <c r="B277" s="13" t="s">
        <v>67</v>
      </c>
      <c r="C277" s="12" t="s">
        <v>720</v>
      </c>
      <c r="D277" s="12" t="s">
        <v>712</v>
      </c>
      <c r="E277" s="13" t="s">
        <v>553</v>
      </c>
      <c r="F277" s="13" t="s">
        <v>76</v>
      </c>
      <c r="G277" s="14">
        <v>0</v>
      </c>
      <c r="H277" s="14">
        <v>0</v>
      </c>
      <c r="I277" s="12"/>
    </row>
    <row r="278" spans="1:9" x14ac:dyDescent="0.35">
      <c r="A278" s="12" t="s">
        <v>721</v>
      </c>
      <c r="B278" s="13" t="s">
        <v>67</v>
      </c>
      <c r="C278" s="12" t="s">
        <v>722</v>
      </c>
      <c r="D278" s="12" t="s">
        <v>712</v>
      </c>
      <c r="E278" s="13" t="s">
        <v>553</v>
      </c>
      <c r="F278" s="13" t="s">
        <v>76</v>
      </c>
      <c r="G278" s="14">
        <v>0</v>
      </c>
      <c r="H278" s="14">
        <v>0</v>
      </c>
      <c r="I278" s="12"/>
    </row>
    <row r="279" spans="1:9" x14ac:dyDescent="0.35">
      <c r="A279" s="12" t="s">
        <v>723</v>
      </c>
      <c r="B279" s="13" t="s">
        <v>67</v>
      </c>
      <c r="C279" s="12" t="s">
        <v>724</v>
      </c>
      <c r="D279" s="12" t="s">
        <v>712</v>
      </c>
      <c r="E279" s="13" t="s">
        <v>553</v>
      </c>
      <c r="F279" s="13" t="s">
        <v>76</v>
      </c>
      <c r="G279" s="14">
        <v>0</v>
      </c>
      <c r="H279" s="14">
        <v>5000</v>
      </c>
      <c r="I279" s="12"/>
    </row>
    <row r="280" spans="1:9" x14ac:dyDescent="0.35">
      <c r="A280" s="6" t="s">
        <v>725</v>
      </c>
      <c r="B280" s="7" t="s">
        <v>58</v>
      </c>
      <c r="C280" s="6" t="s">
        <v>726</v>
      </c>
      <c r="D280" s="6" t="s">
        <v>727</v>
      </c>
      <c r="E280" s="7" t="s">
        <v>553</v>
      </c>
      <c r="F280" s="7"/>
      <c r="G280" s="8">
        <f>SUMIFS($G$2:$G$455,$A$2:$A$455,"180.*",$B$2:$B$455,"Sottoconto")</f>
        <v>0</v>
      </c>
      <c r="H280" s="8">
        <f>SUMIFS($H$2:$H$455,$A$2:$A$455,"180.*",$B$2:$B$455,"Sottoconto")</f>
        <v>8000</v>
      </c>
      <c r="I280" s="6"/>
    </row>
    <row r="281" spans="1:9" x14ac:dyDescent="0.35">
      <c r="A281" s="9" t="s">
        <v>728</v>
      </c>
      <c r="B281" s="10" t="s">
        <v>63</v>
      </c>
      <c r="C281" s="9" t="s">
        <v>729</v>
      </c>
      <c r="D281" s="9" t="s">
        <v>727</v>
      </c>
      <c r="E281" s="10"/>
      <c r="F281" s="10"/>
      <c r="G281" s="11">
        <f>SUMIFS($G$2:$G$455,$A$2:$A$455,"180.005.*",$B$2:$B$455,"Sottoconto")</f>
        <v>0</v>
      </c>
      <c r="H281" s="11">
        <f>SUMIFS($H$2:$H$455,$A$2:$A$455,"180.005.*",$B$2:$B$455,"Sottoconto")</f>
        <v>5000</v>
      </c>
      <c r="I281" s="9"/>
    </row>
    <row r="282" spans="1:9" x14ac:dyDescent="0.35">
      <c r="A282" s="12" t="s">
        <v>730</v>
      </c>
      <c r="B282" s="13" t="s">
        <v>67</v>
      </c>
      <c r="C282" s="12" t="s">
        <v>729</v>
      </c>
      <c r="D282" s="12" t="s">
        <v>727</v>
      </c>
      <c r="E282" s="13" t="s">
        <v>553</v>
      </c>
      <c r="F282" s="13" t="s">
        <v>76</v>
      </c>
      <c r="G282" s="14">
        <v>0</v>
      </c>
      <c r="H282" s="14">
        <v>5000</v>
      </c>
      <c r="I282" s="12"/>
    </row>
    <row r="283" spans="1:9" x14ac:dyDescent="0.35">
      <c r="A283" s="9" t="s">
        <v>731</v>
      </c>
      <c r="B283" s="10" t="s">
        <v>63</v>
      </c>
      <c r="C283" s="9" t="s">
        <v>732</v>
      </c>
      <c r="D283" s="9" t="s">
        <v>727</v>
      </c>
      <c r="E283" s="10"/>
      <c r="F283" s="10"/>
      <c r="G283" s="11">
        <f>SUMIFS($G$2:$G$455,$A$2:$A$455,"180.010.*",$B$2:$B$455,"Sottoconto")</f>
        <v>0</v>
      </c>
      <c r="H283" s="11">
        <f>SUMIFS($H$2:$H$455,$A$2:$A$455,"180.010.*",$B$2:$B$455,"Sottoconto")</f>
        <v>3000</v>
      </c>
      <c r="I283" s="9"/>
    </row>
    <row r="284" spans="1:9" x14ac:dyDescent="0.35">
      <c r="A284" s="12" t="s">
        <v>733</v>
      </c>
      <c r="B284" s="13" t="s">
        <v>67</v>
      </c>
      <c r="C284" s="12" t="s">
        <v>732</v>
      </c>
      <c r="D284" s="12" t="s">
        <v>727</v>
      </c>
      <c r="E284" s="13" t="s">
        <v>553</v>
      </c>
      <c r="F284" s="13" t="s">
        <v>76</v>
      </c>
      <c r="G284" s="14">
        <v>0</v>
      </c>
      <c r="H284" s="14">
        <v>3000</v>
      </c>
      <c r="I284" s="12"/>
    </row>
    <row r="285" spans="1:9" x14ac:dyDescent="0.35">
      <c r="A285" s="12" t="s">
        <v>734</v>
      </c>
      <c r="B285" s="13" t="s">
        <v>67</v>
      </c>
      <c r="C285" s="12" t="s">
        <v>735</v>
      </c>
      <c r="D285" s="12" t="s">
        <v>727</v>
      </c>
      <c r="E285" s="13" t="s">
        <v>553</v>
      </c>
      <c r="F285" s="13" t="s">
        <v>76</v>
      </c>
      <c r="G285" s="14">
        <v>0</v>
      </c>
      <c r="H285" s="14">
        <v>0</v>
      </c>
      <c r="I285" s="12"/>
    </row>
    <row r="286" spans="1:9" x14ac:dyDescent="0.35">
      <c r="A286" s="6" t="s">
        <v>736</v>
      </c>
      <c r="B286" s="7" t="s">
        <v>58</v>
      </c>
      <c r="C286" s="6" t="s">
        <v>737</v>
      </c>
      <c r="D286" s="6" t="s">
        <v>76</v>
      </c>
      <c r="E286" s="7" t="s">
        <v>738</v>
      </c>
      <c r="F286" s="7"/>
      <c r="G286" s="8">
        <f>SUMIFS($G$2:$G$455,$A$2:$A$455,"300.*",$B$2:$B$455,"Sottoconto")</f>
        <v>25000</v>
      </c>
      <c r="H286" s="8">
        <f>SUMIFS($H$2:$H$455,$A$2:$A$455,"300.*",$B$2:$B$455,"Sottoconto")</f>
        <v>4053000</v>
      </c>
      <c r="I286" s="6"/>
    </row>
    <row r="287" spans="1:9" x14ac:dyDescent="0.35">
      <c r="A287" s="9" t="s">
        <v>739</v>
      </c>
      <c r="B287" s="10" t="s">
        <v>63</v>
      </c>
      <c r="C287" s="9" t="s">
        <v>740</v>
      </c>
      <c r="D287" s="9" t="s">
        <v>741</v>
      </c>
      <c r="E287" s="10"/>
      <c r="F287" s="10"/>
      <c r="G287" s="11">
        <f>SUMIFS($G$2:$G$455,$A$2:$A$455,"300.005.*",$B$2:$B$455,"Sottoconto")</f>
        <v>25000</v>
      </c>
      <c r="H287" s="11">
        <f>SUMIFS($H$2:$H$455,$A$2:$A$455,"300.005.*",$B$2:$B$455,"Sottoconto")</f>
        <v>3950000</v>
      </c>
      <c r="I287" s="9"/>
    </row>
    <row r="288" spans="1:9" x14ac:dyDescent="0.35">
      <c r="A288" s="12" t="s">
        <v>742</v>
      </c>
      <c r="B288" s="13" t="s">
        <v>67</v>
      </c>
      <c r="C288" s="12" t="s">
        <v>743</v>
      </c>
      <c r="D288" s="12" t="s">
        <v>741</v>
      </c>
      <c r="E288" s="13" t="s">
        <v>738</v>
      </c>
      <c r="F288" s="13" t="s">
        <v>76</v>
      </c>
      <c r="G288" s="14">
        <v>0</v>
      </c>
      <c r="H288" s="14">
        <v>2800000</v>
      </c>
      <c r="I288" s="12"/>
    </row>
    <row r="289" spans="1:9" x14ac:dyDescent="0.35">
      <c r="A289" s="12" t="s">
        <v>744</v>
      </c>
      <c r="B289" s="13" t="s">
        <v>67</v>
      </c>
      <c r="C289" s="12" t="s">
        <v>745</v>
      </c>
      <c r="D289" s="12" t="s">
        <v>741</v>
      </c>
      <c r="E289" s="13" t="s">
        <v>738</v>
      </c>
      <c r="F289" s="13" t="s">
        <v>76</v>
      </c>
      <c r="G289" s="14">
        <v>0</v>
      </c>
      <c r="H289" s="14">
        <v>600000</v>
      </c>
      <c r="I289" s="12"/>
    </row>
    <row r="290" spans="1:9" x14ac:dyDescent="0.35">
      <c r="A290" s="12" t="s">
        <v>746</v>
      </c>
      <c r="B290" s="13" t="s">
        <v>67</v>
      </c>
      <c r="C290" s="12" t="s">
        <v>747</v>
      </c>
      <c r="D290" s="12" t="s">
        <v>741</v>
      </c>
      <c r="E290" s="13" t="s">
        <v>738</v>
      </c>
      <c r="F290" s="13" t="s">
        <v>76</v>
      </c>
      <c r="G290" s="14">
        <v>0</v>
      </c>
      <c r="H290" s="14">
        <v>200000</v>
      </c>
      <c r="I290" s="12"/>
    </row>
    <row r="291" spans="1:9" x14ac:dyDescent="0.35">
      <c r="A291" s="12" t="s">
        <v>748</v>
      </c>
      <c r="B291" s="13" t="s">
        <v>67</v>
      </c>
      <c r="C291" s="12" t="s">
        <v>749</v>
      </c>
      <c r="D291" s="12" t="s">
        <v>741</v>
      </c>
      <c r="E291" s="13" t="s">
        <v>738</v>
      </c>
      <c r="F291" s="13" t="s">
        <v>76</v>
      </c>
      <c r="G291" s="14">
        <v>0</v>
      </c>
      <c r="H291" s="14">
        <v>0</v>
      </c>
      <c r="I291" s="12"/>
    </row>
    <row r="292" spans="1:9" x14ac:dyDescent="0.35">
      <c r="A292" s="12" t="s">
        <v>750</v>
      </c>
      <c r="B292" s="13" t="s">
        <v>67</v>
      </c>
      <c r="C292" s="12" t="s">
        <v>751</v>
      </c>
      <c r="D292" s="12" t="s">
        <v>741</v>
      </c>
      <c r="E292" s="13" t="s">
        <v>738</v>
      </c>
      <c r="F292" s="13" t="s">
        <v>76</v>
      </c>
      <c r="G292" s="14">
        <v>0</v>
      </c>
      <c r="H292" s="14">
        <v>350000</v>
      </c>
      <c r="I292" s="12"/>
    </row>
    <row r="293" spans="1:9" x14ac:dyDescent="0.35">
      <c r="A293" s="12" t="s">
        <v>752</v>
      </c>
      <c r="B293" s="13" t="s">
        <v>67</v>
      </c>
      <c r="C293" s="12" t="s">
        <v>753</v>
      </c>
      <c r="D293" s="12" t="s">
        <v>741</v>
      </c>
      <c r="E293" s="13" t="s">
        <v>738</v>
      </c>
      <c r="F293" s="13" t="s">
        <v>76</v>
      </c>
      <c r="G293" s="14">
        <v>0</v>
      </c>
      <c r="H293" s="14">
        <v>0</v>
      </c>
      <c r="I293" s="12"/>
    </row>
    <row r="294" spans="1:9" x14ac:dyDescent="0.35">
      <c r="A294" s="12" t="s">
        <v>754</v>
      </c>
      <c r="B294" s="13" t="s">
        <v>67</v>
      </c>
      <c r="C294" s="12" t="s">
        <v>755</v>
      </c>
      <c r="D294" s="12" t="s">
        <v>741</v>
      </c>
      <c r="E294" s="13" t="s">
        <v>738</v>
      </c>
      <c r="F294" s="13" t="s">
        <v>69</v>
      </c>
      <c r="G294" s="14">
        <v>0</v>
      </c>
      <c r="H294" s="14">
        <v>0</v>
      </c>
      <c r="I294" s="15" t="s">
        <v>756</v>
      </c>
    </row>
    <row r="295" spans="1:9" x14ac:dyDescent="0.35">
      <c r="A295" s="12" t="s">
        <v>757</v>
      </c>
      <c r="B295" s="13" t="s">
        <v>67</v>
      </c>
      <c r="C295" s="12" t="s">
        <v>758</v>
      </c>
      <c r="D295" s="12" t="s">
        <v>741</v>
      </c>
      <c r="E295" s="13" t="s">
        <v>738</v>
      </c>
      <c r="F295" s="13" t="s">
        <v>69</v>
      </c>
      <c r="G295" s="14">
        <v>25000</v>
      </c>
      <c r="H295" s="14">
        <v>0</v>
      </c>
      <c r="I295" s="12"/>
    </row>
    <row r="296" spans="1:9" x14ac:dyDescent="0.35">
      <c r="A296" s="9" t="s">
        <v>759</v>
      </c>
      <c r="B296" s="10" t="s">
        <v>63</v>
      </c>
      <c r="C296" s="9" t="s">
        <v>760</v>
      </c>
      <c r="D296" s="9" t="s">
        <v>761</v>
      </c>
      <c r="E296" s="10"/>
      <c r="F296" s="10"/>
      <c r="G296" s="11">
        <f>SUMIFS($G$2:$G$455,$A$2:$A$455,"300.010.*",$B$2:$B$455,"Sottoconto")</f>
        <v>0</v>
      </c>
      <c r="H296" s="11">
        <f>SUMIFS($H$2:$H$455,$A$2:$A$455,"300.010.*",$B$2:$B$455,"Sottoconto")</f>
        <v>45000</v>
      </c>
      <c r="I296" s="16" t="s">
        <v>762</v>
      </c>
    </row>
    <row r="297" spans="1:9" x14ac:dyDescent="0.35">
      <c r="A297" s="12" t="s">
        <v>763</v>
      </c>
      <c r="B297" s="13" t="s">
        <v>67</v>
      </c>
      <c r="C297" s="12" t="s">
        <v>764</v>
      </c>
      <c r="D297" s="12" t="s">
        <v>761</v>
      </c>
      <c r="E297" s="13" t="s">
        <v>738</v>
      </c>
      <c r="F297" s="13" t="s">
        <v>76</v>
      </c>
      <c r="G297" s="14">
        <v>0</v>
      </c>
      <c r="H297" s="14">
        <v>0</v>
      </c>
      <c r="I297" s="12"/>
    </row>
    <row r="298" spans="1:9" x14ac:dyDescent="0.35">
      <c r="A298" s="12" t="s">
        <v>765</v>
      </c>
      <c r="B298" s="13" t="s">
        <v>67</v>
      </c>
      <c r="C298" s="12" t="s">
        <v>766</v>
      </c>
      <c r="D298" s="12" t="s">
        <v>761</v>
      </c>
      <c r="E298" s="13" t="s">
        <v>738</v>
      </c>
      <c r="F298" s="13" t="s">
        <v>76</v>
      </c>
      <c r="G298" s="14">
        <v>0</v>
      </c>
      <c r="H298" s="14">
        <v>15000</v>
      </c>
      <c r="I298" s="12"/>
    </row>
    <row r="299" spans="1:9" x14ac:dyDescent="0.35">
      <c r="A299" s="12" t="s">
        <v>767</v>
      </c>
      <c r="B299" s="13" t="s">
        <v>67</v>
      </c>
      <c r="C299" s="12" t="s">
        <v>768</v>
      </c>
      <c r="D299" s="12" t="s">
        <v>761</v>
      </c>
      <c r="E299" s="13" t="s">
        <v>738</v>
      </c>
      <c r="F299" s="13" t="s">
        <v>76</v>
      </c>
      <c r="G299" s="14">
        <v>0</v>
      </c>
      <c r="H299" s="14">
        <v>30000</v>
      </c>
      <c r="I299" s="12"/>
    </row>
    <row r="300" spans="1:9" x14ac:dyDescent="0.35">
      <c r="A300" s="9" t="s">
        <v>769</v>
      </c>
      <c r="B300" s="10" t="s">
        <v>63</v>
      </c>
      <c r="C300" s="9" t="s">
        <v>770</v>
      </c>
      <c r="D300" s="9" t="s">
        <v>771</v>
      </c>
      <c r="E300" s="10"/>
      <c r="F300" s="10"/>
      <c r="G300" s="11">
        <f>SUMIFS($G$2:$G$455,$A$2:$A$455,"300.015.*",$B$2:$B$455,"Sottoconto")</f>
        <v>0</v>
      </c>
      <c r="H300" s="11">
        <f>SUMIFS($H$2:$H$455,$A$2:$A$455,"300.015.*",$B$2:$B$455,"Sottoconto")</f>
        <v>0</v>
      </c>
      <c r="I300" s="9"/>
    </row>
    <row r="301" spans="1:9" x14ac:dyDescent="0.35">
      <c r="A301" s="12" t="s">
        <v>772</v>
      </c>
      <c r="B301" s="13" t="s">
        <v>67</v>
      </c>
      <c r="C301" s="12" t="s">
        <v>770</v>
      </c>
      <c r="D301" s="12" t="s">
        <v>771</v>
      </c>
      <c r="E301" s="13" t="s">
        <v>738</v>
      </c>
      <c r="F301" s="13" t="s">
        <v>76</v>
      </c>
      <c r="G301" s="14">
        <v>0</v>
      </c>
      <c r="H301" s="14">
        <v>0</v>
      </c>
      <c r="I301" s="12"/>
    </row>
    <row r="302" spans="1:9" x14ac:dyDescent="0.35">
      <c r="A302" s="9" t="s">
        <v>773</v>
      </c>
      <c r="B302" s="10" t="s">
        <v>63</v>
      </c>
      <c r="C302" s="9" t="s">
        <v>774</v>
      </c>
      <c r="D302" s="9" t="s">
        <v>775</v>
      </c>
      <c r="E302" s="10"/>
      <c r="F302" s="10"/>
      <c r="G302" s="11">
        <f>SUMIFS($G$2:$G$455,$A$2:$A$455,"300.020.*",$B$2:$B$455,"Sottoconto")</f>
        <v>0</v>
      </c>
      <c r="H302" s="11">
        <f>SUMIFS($H$2:$H$455,$A$2:$A$455,"300.020.*",$B$2:$B$455,"Sottoconto")</f>
        <v>0</v>
      </c>
      <c r="I302" s="9"/>
    </row>
    <row r="303" spans="1:9" x14ac:dyDescent="0.35">
      <c r="A303" s="12" t="s">
        <v>776</v>
      </c>
      <c r="B303" s="13" t="s">
        <v>67</v>
      </c>
      <c r="C303" s="12" t="s">
        <v>777</v>
      </c>
      <c r="D303" s="12" t="s">
        <v>775</v>
      </c>
      <c r="E303" s="13" t="s">
        <v>738</v>
      </c>
      <c r="F303" s="13" t="s">
        <v>76</v>
      </c>
      <c r="G303" s="14">
        <v>0</v>
      </c>
      <c r="H303" s="14">
        <v>0</v>
      </c>
      <c r="I303" s="12"/>
    </row>
    <row r="304" spans="1:9" x14ac:dyDescent="0.35">
      <c r="A304" s="12" t="s">
        <v>778</v>
      </c>
      <c r="B304" s="13" t="s">
        <v>67</v>
      </c>
      <c r="C304" s="12" t="s">
        <v>779</v>
      </c>
      <c r="D304" s="12" t="s">
        <v>775</v>
      </c>
      <c r="E304" s="13" t="s">
        <v>738</v>
      </c>
      <c r="F304" s="13" t="s">
        <v>76</v>
      </c>
      <c r="G304" s="14">
        <v>0</v>
      </c>
      <c r="H304" s="14">
        <v>0</v>
      </c>
      <c r="I304" s="12"/>
    </row>
    <row r="305" spans="1:9" x14ac:dyDescent="0.35">
      <c r="A305" s="9" t="s">
        <v>780</v>
      </c>
      <c r="B305" s="10" t="s">
        <v>63</v>
      </c>
      <c r="C305" s="9" t="s">
        <v>781</v>
      </c>
      <c r="D305" s="9" t="s">
        <v>782</v>
      </c>
      <c r="E305" s="10"/>
      <c r="F305" s="10"/>
      <c r="G305" s="11">
        <f>SUMIFS($G$2:$G$455,$A$2:$A$455,"300.025.*",$B$2:$B$455,"Sottoconto")</f>
        <v>0</v>
      </c>
      <c r="H305" s="11">
        <f>SUMIFS($H$2:$H$455,$A$2:$A$455,"300.025.*",$B$2:$B$455,"Sottoconto")</f>
        <v>58000</v>
      </c>
      <c r="I305" s="9"/>
    </row>
    <row r="306" spans="1:9" x14ac:dyDescent="0.35">
      <c r="A306" s="12" t="s">
        <v>783</v>
      </c>
      <c r="B306" s="13" t="s">
        <v>67</v>
      </c>
      <c r="C306" s="12" t="s">
        <v>784</v>
      </c>
      <c r="D306" s="12" t="s">
        <v>782</v>
      </c>
      <c r="E306" s="13" t="s">
        <v>738</v>
      </c>
      <c r="F306" s="13" t="s">
        <v>76</v>
      </c>
      <c r="G306" s="14">
        <v>0</v>
      </c>
      <c r="H306" s="14">
        <v>12000</v>
      </c>
      <c r="I306" s="12"/>
    </row>
    <row r="307" spans="1:9" x14ac:dyDescent="0.35">
      <c r="A307" s="12" t="s">
        <v>785</v>
      </c>
      <c r="B307" s="13" t="s">
        <v>67</v>
      </c>
      <c r="C307" s="12" t="s">
        <v>786</v>
      </c>
      <c r="D307" s="12" t="s">
        <v>782</v>
      </c>
      <c r="E307" s="13" t="s">
        <v>738</v>
      </c>
      <c r="F307" s="13" t="s">
        <v>76</v>
      </c>
      <c r="G307" s="14">
        <v>0</v>
      </c>
      <c r="H307" s="14">
        <v>5000</v>
      </c>
      <c r="I307" s="12"/>
    </row>
    <row r="308" spans="1:9" x14ac:dyDescent="0.35">
      <c r="A308" s="12" t="s">
        <v>787</v>
      </c>
      <c r="B308" s="13" t="s">
        <v>67</v>
      </c>
      <c r="C308" s="12" t="s">
        <v>788</v>
      </c>
      <c r="D308" s="12" t="s">
        <v>789</v>
      </c>
      <c r="E308" s="13" t="s">
        <v>738</v>
      </c>
      <c r="F308" s="13" t="s">
        <v>76</v>
      </c>
      <c r="G308" s="14">
        <v>0</v>
      </c>
      <c r="H308" s="14">
        <v>8000</v>
      </c>
      <c r="I308" s="15" t="s">
        <v>790</v>
      </c>
    </row>
    <row r="309" spans="1:9" x14ac:dyDescent="0.35">
      <c r="A309" s="12" t="s">
        <v>791</v>
      </c>
      <c r="B309" s="13" t="s">
        <v>67</v>
      </c>
      <c r="C309" s="12" t="s">
        <v>792</v>
      </c>
      <c r="D309" s="12" t="s">
        <v>782</v>
      </c>
      <c r="E309" s="13" t="s">
        <v>738</v>
      </c>
      <c r="F309" s="13" t="s">
        <v>76</v>
      </c>
      <c r="G309" s="14">
        <v>0</v>
      </c>
      <c r="H309" s="14">
        <v>0</v>
      </c>
      <c r="I309" s="15" t="s">
        <v>793</v>
      </c>
    </row>
    <row r="310" spans="1:9" x14ac:dyDescent="0.35">
      <c r="A310" s="12" t="s">
        <v>794</v>
      </c>
      <c r="B310" s="13" t="s">
        <v>67</v>
      </c>
      <c r="C310" s="12" t="s">
        <v>795</v>
      </c>
      <c r="D310" s="12" t="s">
        <v>782</v>
      </c>
      <c r="E310" s="13" t="s">
        <v>738</v>
      </c>
      <c r="F310" s="13" t="s">
        <v>76</v>
      </c>
      <c r="G310" s="14">
        <v>0</v>
      </c>
      <c r="H310" s="14">
        <v>18000</v>
      </c>
      <c r="I310" s="12"/>
    </row>
    <row r="311" spans="1:9" x14ac:dyDescent="0.35">
      <c r="A311" s="12" t="s">
        <v>796</v>
      </c>
      <c r="B311" s="13" t="s">
        <v>67</v>
      </c>
      <c r="C311" s="12" t="s">
        <v>797</v>
      </c>
      <c r="D311" s="12" t="s">
        <v>782</v>
      </c>
      <c r="E311" s="13" t="s">
        <v>738</v>
      </c>
      <c r="F311" s="13" t="s">
        <v>76</v>
      </c>
      <c r="G311" s="14">
        <v>0</v>
      </c>
      <c r="H311" s="14">
        <v>0</v>
      </c>
      <c r="I311" s="12"/>
    </row>
    <row r="312" spans="1:9" x14ac:dyDescent="0.35">
      <c r="A312" s="12" t="s">
        <v>798</v>
      </c>
      <c r="B312" s="13" t="s">
        <v>67</v>
      </c>
      <c r="C312" s="12" t="s">
        <v>799</v>
      </c>
      <c r="D312" s="12" t="s">
        <v>782</v>
      </c>
      <c r="E312" s="13" t="s">
        <v>738</v>
      </c>
      <c r="F312" s="13" t="s">
        <v>76</v>
      </c>
      <c r="G312" s="14">
        <v>0</v>
      </c>
      <c r="H312" s="14">
        <v>0</v>
      </c>
      <c r="I312" s="12"/>
    </row>
    <row r="313" spans="1:9" x14ac:dyDescent="0.35">
      <c r="A313" s="12" t="s">
        <v>800</v>
      </c>
      <c r="B313" s="13" t="s">
        <v>67</v>
      </c>
      <c r="C313" s="12" t="s">
        <v>801</v>
      </c>
      <c r="D313" s="12" t="s">
        <v>782</v>
      </c>
      <c r="E313" s="13" t="s">
        <v>738</v>
      </c>
      <c r="F313" s="13" t="s">
        <v>76</v>
      </c>
      <c r="G313" s="14">
        <v>0</v>
      </c>
      <c r="H313" s="14">
        <v>15000</v>
      </c>
      <c r="I313" s="12"/>
    </row>
    <row r="314" spans="1:9" x14ac:dyDescent="0.35">
      <c r="A314" s="6" t="s">
        <v>802</v>
      </c>
      <c r="B314" s="7" t="s">
        <v>58</v>
      </c>
      <c r="C314" s="6" t="s">
        <v>803</v>
      </c>
      <c r="D314" s="6" t="s">
        <v>552</v>
      </c>
      <c r="E314" s="7" t="s">
        <v>804</v>
      </c>
      <c r="F314" s="7"/>
      <c r="G314" s="8">
        <f>SUMIFS($G$2:$G$455,$A$2:$A$455,"200.*",$B$2:$B$455,"Sottoconto")</f>
        <v>3462100</v>
      </c>
      <c r="H314" s="8">
        <f>SUMIFS($H$2:$H$455,$A$2:$A$455,"200.*",$B$2:$B$455,"Sottoconto")</f>
        <v>40000</v>
      </c>
      <c r="I314" s="6"/>
    </row>
    <row r="315" spans="1:9" x14ac:dyDescent="0.35">
      <c r="A315" s="9" t="s">
        <v>805</v>
      </c>
      <c r="B315" s="10" t="s">
        <v>63</v>
      </c>
      <c r="C315" s="9" t="s">
        <v>806</v>
      </c>
      <c r="D315" s="9" t="s">
        <v>807</v>
      </c>
      <c r="E315" s="10"/>
      <c r="F315" s="10"/>
      <c r="G315" s="11">
        <f>SUMIFS($G$2:$G$455,$A$2:$A$455,"200.005.*",$B$2:$B$455,"Sottoconto")</f>
        <v>1468000</v>
      </c>
      <c r="H315" s="11">
        <f>SUMIFS($H$2:$H$455,$A$2:$A$455,"200.005.*",$B$2:$B$455,"Sottoconto")</f>
        <v>15000</v>
      </c>
      <c r="I315" s="9"/>
    </row>
    <row r="316" spans="1:9" x14ac:dyDescent="0.35">
      <c r="A316" s="12" t="s">
        <v>808</v>
      </c>
      <c r="B316" s="13" t="s">
        <v>67</v>
      </c>
      <c r="C316" s="12" t="s">
        <v>809</v>
      </c>
      <c r="D316" s="12" t="s">
        <v>807</v>
      </c>
      <c r="E316" s="13" t="s">
        <v>804</v>
      </c>
      <c r="F316" s="13" t="s">
        <v>69</v>
      </c>
      <c r="G316" s="14">
        <v>1200000</v>
      </c>
      <c r="H316" s="14">
        <v>0</v>
      </c>
      <c r="I316" s="12"/>
    </row>
    <row r="317" spans="1:9" x14ac:dyDescent="0.35">
      <c r="A317" s="12" t="s">
        <v>810</v>
      </c>
      <c r="B317" s="13" t="s">
        <v>67</v>
      </c>
      <c r="C317" s="12" t="s">
        <v>811</v>
      </c>
      <c r="D317" s="12" t="s">
        <v>807</v>
      </c>
      <c r="E317" s="13" t="s">
        <v>804</v>
      </c>
      <c r="F317" s="13" t="s">
        <v>69</v>
      </c>
      <c r="G317" s="14">
        <v>80000</v>
      </c>
      <c r="H317" s="14">
        <v>0</v>
      </c>
      <c r="I317" s="12"/>
    </row>
    <row r="318" spans="1:9" x14ac:dyDescent="0.35">
      <c r="A318" s="12" t="s">
        <v>812</v>
      </c>
      <c r="B318" s="13" t="s">
        <v>67</v>
      </c>
      <c r="C318" s="12" t="s">
        <v>813</v>
      </c>
      <c r="D318" s="12" t="s">
        <v>807</v>
      </c>
      <c r="E318" s="13" t="s">
        <v>804</v>
      </c>
      <c r="F318" s="13" t="s">
        <v>69</v>
      </c>
      <c r="G318" s="14">
        <v>35000</v>
      </c>
      <c r="H318" s="14">
        <v>0</v>
      </c>
      <c r="I318" s="12"/>
    </row>
    <row r="319" spans="1:9" x14ac:dyDescent="0.35">
      <c r="A319" s="12" t="s">
        <v>814</v>
      </c>
      <c r="B319" s="13" t="s">
        <v>67</v>
      </c>
      <c r="C319" s="12" t="s">
        <v>815</v>
      </c>
      <c r="D319" s="12" t="s">
        <v>807</v>
      </c>
      <c r="E319" s="13" t="s">
        <v>804</v>
      </c>
      <c r="F319" s="13" t="s">
        <v>69</v>
      </c>
      <c r="G319" s="14">
        <v>120000</v>
      </c>
      <c r="H319" s="14">
        <v>0</v>
      </c>
      <c r="I319" s="12"/>
    </row>
    <row r="320" spans="1:9" x14ac:dyDescent="0.35">
      <c r="A320" s="12" t="s">
        <v>816</v>
      </c>
      <c r="B320" s="13" t="s">
        <v>67</v>
      </c>
      <c r="C320" s="12" t="s">
        <v>817</v>
      </c>
      <c r="D320" s="12" t="s">
        <v>807</v>
      </c>
      <c r="E320" s="13" t="s">
        <v>804</v>
      </c>
      <c r="F320" s="13" t="s">
        <v>69</v>
      </c>
      <c r="G320" s="14">
        <v>25000</v>
      </c>
      <c r="H320" s="14">
        <v>0</v>
      </c>
      <c r="I320" s="12"/>
    </row>
    <row r="321" spans="1:9" x14ac:dyDescent="0.35">
      <c r="A321" s="12" t="s">
        <v>818</v>
      </c>
      <c r="B321" s="13" t="s">
        <v>67</v>
      </c>
      <c r="C321" s="12" t="s">
        <v>819</v>
      </c>
      <c r="D321" s="12" t="s">
        <v>807</v>
      </c>
      <c r="E321" s="13" t="s">
        <v>804</v>
      </c>
      <c r="F321" s="13" t="s">
        <v>69</v>
      </c>
      <c r="G321" s="14">
        <v>8000</v>
      </c>
      <c r="H321" s="14">
        <v>0</v>
      </c>
      <c r="I321" s="12"/>
    </row>
    <row r="322" spans="1:9" x14ac:dyDescent="0.35">
      <c r="A322" s="12" t="s">
        <v>820</v>
      </c>
      <c r="B322" s="13" t="s">
        <v>67</v>
      </c>
      <c r="C322" s="12" t="s">
        <v>821</v>
      </c>
      <c r="D322" s="12" t="s">
        <v>807</v>
      </c>
      <c r="E322" s="13" t="s">
        <v>804</v>
      </c>
      <c r="F322" s="13" t="s">
        <v>69</v>
      </c>
      <c r="G322" s="14">
        <v>0</v>
      </c>
      <c r="H322" s="14">
        <v>0</v>
      </c>
      <c r="I322" s="12"/>
    </row>
    <row r="323" spans="1:9" x14ac:dyDescent="0.35">
      <c r="A323" s="12" t="s">
        <v>822</v>
      </c>
      <c r="B323" s="13" t="s">
        <v>67</v>
      </c>
      <c r="C323" s="12" t="s">
        <v>823</v>
      </c>
      <c r="D323" s="12" t="s">
        <v>807</v>
      </c>
      <c r="E323" s="13" t="s">
        <v>804</v>
      </c>
      <c r="F323" s="13" t="s">
        <v>76</v>
      </c>
      <c r="G323" s="14">
        <v>0</v>
      </c>
      <c r="H323" s="14">
        <v>0</v>
      </c>
      <c r="I323" s="15" t="s">
        <v>55</v>
      </c>
    </row>
    <row r="324" spans="1:9" x14ac:dyDescent="0.35">
      <c r="A324" s="12" t="s">
        <v>824</v>
      </c>
      <c r="B324" s="13" t="s">
        <v>67</v>
      </c>
      <c r="C324" s="12" t="s">
        <v>825</v>
      </c>
      <c r="D324" s="12" t="s">
        <v>807</v>
      </c>
      <c r="E324" s="13" t="s">
        <v>804</v>
      </c>
      <c r="F324" s="13" t="s">
        <v>76</v>
      </c>
      <c r="G324" s="14">
        <v>0</v>
      </c>
      <c r="H324" s="14">
        <v>15000</v>
      </c>
      <c r="I324" s="15" t="s">
        <v>55</v>
      </c>
    </row>
    <row r="325" spans="1:9" x14ac:dyDescent="0.35">
      <c r="A325" s="9" t="s">
        <v>826</v>
      </c>
      <c r="B325" s="10" t="s">
        <v>63</v>
      </c>
      <c r="C325" s="9" t="s">
        <v>827</v>
      </c>
      <c r="D325" s="9" t="s">
        <v>828</v>
      </c>
      <c r="E325" s="10"/>
      <c r="F325" s="10"/>
      <c r="G325" s="11">
        <f>SUMIFS($G$2:$G$455,$A$2:$A$455,"200.010.*",$B$2:$B$455,"Sottoconto")</f>
        <v>758000</v>
      </c>
      <c r="H325" s="11">
        <f>SUMIFS($H$2:$H$455,$A$2:$A$455,"200.010.*",$B$2:$B$455,"Sottoconto")</f>
        <v>0</v>
      </c>
      <c r="I325" s="9"/>
    </row>
    <row r="326" spans="1:9" x14ac:dyDescent="0.35">
      <c r="A326" s="12" t="s">
        <v>829</v>
      </c>
      <c r="B326" s="13" t="s">
        <v>67</v>
      </c>
      <c r="C326" s="12" t="s">
        <v>830</v>
      </c>
      <c r="D326" s="12" t="s">
        <v>828</v>
      </c>
      <c r="E326" s="13" t="s">
        <v>804</v>
      </c>
      <c r="F326" s="13" t="s">
        <v>69</v>
      </c>
      <c r="G326" s="14">
        <v>85000</v>
      </c>
      <c r="H326" s="14">
        <v>0</v>
      </c>
      <c r="I326" s="12"/>
    </row>
    <row r="327" spans="1:9" x14ac:dyDescent="0.35">
      <c r="A327" s="12" t="s">
        <v>831</v>
      </c>
      <c r="B327" s="13" t="s">
        <v>67</v>
      </c>
      <c r="C327" s="12" t="s">
        <v>832</v>
      </c>
      <c r="D327" s="12" t="s">
        <v>828</v>
      </c>
      <c r="E327" s="13" t="s">
        <v>804</v>
      </c>
      <c r="F327" s="13" t="s">
        <v>69</v>
      </c>
      <c r="G327" s="14">
        <v>35000</v>
      </c>
      <c r="H327" s="14">
        <v>0</v>
      </c>
      <c r="I327" s="12"/>
    </row>
    <row r="328" spans="1:9" x14ac:dyDescent="0.35">
      <c r="A328" s="12" t="s">
        <v>833</v>
      </c>
      <c r="B328" s="13" t="s">
        <v>67</v>
      </c>
      <c r="C328" s="12" t="s">
        <v>834</v>
      </c>
      <c r="D328" s="12" t="s">
        <v>828</v>
      </c>
      <c r="E328" s="13" t="s">
        <v>804</v>
      </c>
      <c r="F328" s="13" t="s">
        <v>69</v>
      </c>
      <c r="G328" s="14">
        <v>8000</v>
      </c>
      <c r="H328" s="14">
        <v>0</v>
      </c>
      <c r="I328" s="12"/>
    </row>
    <row r="329" spans="1:9" x14ac:dyDescent="0.35">
      <c r="A329" s="12" t="s">
        <v>835</v>
      </c>
      <c r="B329" s="13" t="s">
        <v>67</v>
      </c>
      <c r="C329" s="12" t="s">
        <v>836</v>
      </c>
      <c r="D329" s="12" t="s">
        <v>828</v>
      </c>
      <c r="E329" s="13" t="s">
        <v>804</v>
      </c>
      <c r="F329" s="13" t="s">
        <v>69</v>
      </c>
      <c r="G329" s="14">
        <v>6000</v>
      </c>
      <c r="H329" s="14">
        <v>0</v>
      </c>
      <c r="I329" s="12"/>
    </row>
    <row r="330" spans="1:9" x14ac:dyDescent="0.35">
      <c r="A330" s="12" t="s">
        <v>837</v>
      </c>
      <c r="B330" s="13" t="s">
        <v>67</v>
      </c>
      <c r="C330" s="12" t="s">
        <v>838</v>
      </c>
      <c r="D330" s="12" t="s">
        <v>828</v>
      </c>
      <c r="E330" s="13" t="s">
        <v>804</v>
      </c>
      <c r="F330" s="13" t="s">
        <v>69</v>
      </c>
      <c r="G330" s="14">
        <v>12000</v>
      </c>
      <c r="H330" s="14">
        <v>0</v>
      </c>
      <c r="I330" s="12"/>
    </row>
    <row r="331" spans="1:9" x14ac:dyDescent="0.35">
      <c r="A331" s="12" t="s">
        <v>839</v>
      </c>
      <c r="B331" s="13" t="s">
        <v>67</v>
      </c>
      <c r="C331" s="12" t="s">
        <v>840</v>
      </c>
      <c r="D331" s="12" t="s">
        <v>828</v>
      </c>
      <c r="E331" s="13" t="s">
        <v>804</v>
      </c>
      <c r="F331" s="13" t="s">
        <v>69</v>
      </c>
      <c r="G331" s="14">
        <v>8000</v>
      </c>
      <c r="H331" s="14">
        <v>0</v>
      </c>
      <c r="I331" s="12"/>
    </row>
    <row r="332" spans="1:9" x14ac:dyDescent="0.35">
      <c r="A332" s="12" t="s">
        <v>841</v>
      </c>
      <c r="B332" s="13" t="s">
        <v>67</v>
      </c>
      <c r="C332" s="12" t="s">
        <v>842</v>
      </c>
      <c r="D332" s="12" t="s">
        <v>828</v>
      </c>
      <c r="E332" s="13" t="s">
        <v>804</v>
      </c>
      <c r="F332" s="13" t="s">
        <v>69</v>
      </c>
      <c r="G332" s="14">
        <v>15000</v>
      </c>
      <c r="H332" s="14">
        <v>0</v>
      </c>
      <c r="I332" s="12"/>
    </row>
    <row r="333" spans="1:9" x14ac:dyDescent="0.35">
      <c r="A333" s="12" t="s">
        <v>843</v>
      </c>
      <c r="B333" s="13" t="s">
        <v>67</v>
      </c>
      <c r="C333" s="12" t="s">
        <v>844</v>
      </c>
      <c r="D333" s="12" t="s">
        <v>828</v>
      </c>
      <c r="E333" s="13" t="s">
        <v>804</v>
      </c>
      <c r="F333" s="13" t="s">
        <v>69</v>
      </c>
      <c r="G333" s="14">
        <v>45000</v>
      </c>
      <c r="H333" s="14">
        <v>0</v>
      </c>
      <c r="I333" s="15" t="s">
        <v>845</v>
      </c>
    </row>
    <row r="334" spans="1:9" x14ac:dyDescent="0.35">
      <c r="A334" s="12" t="s">
        <v>846</v>
      </c>
      <c r="B334" s="13" t="s">
        <v>67</v>
      </c>
      <c r="C334" s="12" t="s">
        <v>847</v>
      </c>
      <c r="D334" s="12" t="s">
        <v>828</v>
      </c>
      <c r="E334" s="13" t="s">
        <v>804</v>
      </c>
      <c r="F334" s="13" t="s">
        <v>69</v>
      </c>
      <c r="G334" s="14">
        <v>18000</v>
      </c>
      <c r="H334" s="14">
        <v>0</v>
      </c>
      <c r="I334" s="12"/>
    </row>
    <row r="335" spans="1:9" x14ac:dyDescent="0.35">
      <c r="A335" s="12" t="s">
        <v>848</v>
      </c>
      <c r="B335" s="13" t="s">
        <v>67</v>
      </c>
      <c r="C335" s="12" t="s">
        <v>849</v>
      </c>
      <c r="D335" s="12" t="s">
        <v>828</v>
      </c>
      <c r="E335" s="13" t="s">
        <v>804</v>
      </c>
      <c r="F335" s="13" t="s">
        <v>69</v>
      </c>
      <c r="G335" s="14">
        <v>35000</v>
      </c>
      <c r="H335" s="14">
        <v>0</v>
      </c>
      <c r="I335" s="12"/>
    </row>
    <row r="336" spans="1:9" x14ac:dyDescent="0.35">
      <c r="A336" s="12" t="s">
        <v>850</v>
      </c>
      <c r="B336" s="13" t="s">
        <v>67</v>
      </c>
      <c r="C336" s="12" t="s">
        <v>851</v>
      </c>
      <c r="D336" s="12" t="s">
        <v>828</v>
      </c>
      <c r="E336" s="13" t="s">
        <v>804</v>
      </c>
      <c r="F336" s="13" t="s">
        <v>69</v>
      </c>
      <c r="G336" s="14">
        <v>4000</v>
      </c>
      <c r="H336" s="14">
        <v>0</v>
      </c>
      <c r="I336" s="12"/>
    </row>
    <row r="337" spans="1:9" x14ac:dyDescent="0.35">
      <c r="A337" s="12" t="s">
        <v>852</v>
      </c>
      <c r="B337" s="13" t="s">
        <v>67</v>
      </c>
      <c r="C337" s="12" t="s">
        <v>853</v>
      </c>
      <c r="D337" s="12" t="s">
        <v>828</v>
      </c>
      <c r="E337" s="13" t="s">
        <v>804</v>
      </c>
      <c r="F337" s="13" t="s">
        <v>69</v>
      </c>
      <c r="G337" s="14">
        <v>95000</v>
      </c>
      <c r="H337" s="14">
        <v>0</v>
      </c>
      <c r="I337" s="12"/>
    </row>
    <row r="338" spans="1:9" x14ac:dyDescent="0.35">
      <c r="A338" s="12" t="s">
        <v>854</v>
      </c>
      <c r="B338" s="13" t="s">
        <v>67</v>
      </c>
      <c r="C338" s="12" t="s">
        <v>855</v>
      </c>
      <c r="D338" s="12" t="s">
        <v>828</v>
      </c>
      <c r="E338" s="13" t="s">
        <v>804</v>
      </c>
      <c r="F338" s="13" t="s">
        <v>69</v>
      </c>
      <c r="G338" s="14">
        <v>18000</v>
      </c>
      <c r="H338" s="14">
        <v>0</v>
      </c>
      <c r="I338" s="12"/>
    </row>
    <row r="339" spans="1:9" x14ac:dyDescent="0.35">
      <c r="A339" s="12" t="s">
        <v>856</v>
      </c>
      <c r="B339" s="13" t="s">
        <v>67</v>
      </c>
      <c r="C339" s="12" t="s">
        <v>857</v>
      </c>
      <c r="D339" s="12" t="s">
        <v>828</v>
      </c>
      <c r="E339" s="13" t="s">
        <v>804</v>
      </c>
      <c r="F339" s="13" t="s">
        <v>69</v>
      </c>
      <c r="G339" s="14">
        <v>12000</v>
      </c>
      <c r="H339" s="14">
        <v>0</v>
      </c>
      <c r="I339" s="12"/>
    </row>
    <row r="340" spans="1:9" x14ac:dyDescent="0.35">
      <c r="A340" s="12" t="s">
        <v>858</v>
      </c>
      <c r="B340" s="13" t="s">
        <v>67</v>
      </c>
      <c r="C340" s="12" t="s">
        <v>859</v>
      </c>
      <c r="D340" s="12" t="s">
        <v>828</v>
      </c>
      <c r="E340" s="13" t="s">
        <v>804</v>
      </c>
      <c r="F340" s="13" t="s">
        <v>69</v>
      </c>
      <c r="G340" s="14">
        <v>8000</v>
      </c>
      <c r="H340" s="14">
        <v>0</v>
      </c>
      <c r="I340" s="12"/>
    </row>
    <row r="341" spans="1:9" x14ac:dyDescent="0.35">
      <c r="A341" s="12" t="s">
        <v>860</v>
      </c>
      <c r="B341" s="13" t="s">
        <v>67</v>
      </c>
      <c r="C341" s="12" t="s">
        <v>861</v>
      </c>
      <c r="D341" s="12" t="s">
        <v>828</v>
      </c>
      <c r="E341" s="13" t="s">
        <v>804</v>
      </c>
      <c r="F341" s="13" t="s">
        <v>69</v>
      </c>
      <c r="G341" s="14">
        <v>22000</v>
      </c>
      <c r="H341" s="14">
        <v>0</v>
      </c>
      <c r="I341" s="12"/>
    </row>
    <row r="342" spans="1:9" x14ac:dyDescent="0.35">
      <c r="A342" s="12" t="s">
        <v>862</v>
      </c>
      <c r="B342" s="13" t="s">
        <v>67</v>
      </c>
      <c r="C342" s="12" t="s">
        <v>863</v>
      </c>
      <c r="D342" s="12" t="s">
        <v>828</v>
      </c>
      <c r="E342" s="13" t="s">
        <v>804</v>
      </c>
      <c r="F342" s="13" t="s">
        <v>69</v>
      </c>
      <c r="G342" s="14">
        <v>14000</v>
      </c>
      <c r="H342" s="14">
        <v>0</v>
      </c>
      <c r="I342" s="12"/>
    </row>
    <row r="343" spans="1:9" x14ac:dyDescent="0.35">
      <c r="A343" s="12" t="s">
        <v>864</v>
      </c>
      <c r="B343" s="13" t="s">
        <v>67</v>
      </c>
      <c r="C343" s="12" t="s">
        <v>865</v>
      </c>
      <c r="D343" s="12" t="s">
        <v>828</v>
      </c>
      <c r="E343" s="13" t="s">
        <v>804</v>
      </c>
      <c r="F343" s="13" t="s">
        <v>69</v>
      </c>
      <c r="G343" s="14">
        <v>12000</v>
      </c>
      <c r="H343" s="14">
        <v>0</v>
      </c>
      <c r="I343" s="12"/>
    </row>
    <row r="344" spans="1:9" x14ac:dyDescent="0.35">
      <c r="A344" s="12" t="s">
        <v>866</v>
      </c>
      <c r="B344" s="13" t="s">
        <v>67</v>
      </c>
      <c r="C344" s="12" t="s">
        <v>867</v>
      </c>
      <c r="D344" s="12" t="s">
        <v>828</v>
      </c>
      <c r="E344" s="13" t="s">
        <v>804</v>
      </c>
      <c r="F344" s="13" t="s">
        <v>69</v>
      </c>
      <c r="G344" s="14">
        <v>80000</v>
      </c>
      <c r="H344" s="14">
        <v>0</v>
      </c>
      <c r="I344" s="15" t="s">
        <v>868</v>
      </c>
    </row>
    <row r="345" spans="1:9" x14ac:dyDescent="0.35">
      <c r="A345" s="12" t="s">
        <v>869</v>
      </c>
      <c r="B345" s="13" t="s">
        <v>67</v>
      </c>
      <c r="C345" s="12" t="s">
        <v>870</v>
      </c>
      <c r="D345" s="12" t="s">
        <v>828</v>
      </c>
      <c r="E345" s="13" t="s">
        <v>804</v>
      </c>
      <c r="F345" s="13" t="s">
        <v>69</v>
      </c>
      <c r="G345" s="14">
        <v>45000</v>
      </c>
      <c r="H345" s="14">
        <v>0</v>
      </c>
      <c r="I345" s="12"/>
    </row>
    <row r="346" spans="1:9" x14ac:dyDescent="0.35">
      <c r="A346" s="12" t="s">
        <v>871</v>
      </c>
      <c r="B346" s="13" t="s">
        <v>67</v>
      </c>
      <c r="C346" s="12" t="s">
        <v>872</v>
      </c>
      <c r="D346" s="12" t="s">
        <v>828</v>
      </c>
      <c r="E346" s="13" t="s">
        <v>804</v>
      </c>
      <c r="F346" s="13" t="s">
        <v>69</v>
      </c>
      <c r="G346" s="14">
        <v>35000</v>
      </c>
      <c r="H346" s="14">
        <v>0</v>
      </c>
      <c r="I346" s="12"/>
    </row>
    <row r="347" spans="1:9" x14ac:dyDescent="0.35">
      <c r="A347" s="12" t="s">
        <v>873</v>
      </c>
      <c r="B347" s="13" t="s">
        <v>67</v>
      </c>
      <c r="C347" s="12" t="s">
        <v>874</v>
      </c>
      <c r="D347" s="12" t="s">
        <v>828</v>
      </c>
      <c r="E347" s="13" t="s">
        <v>804</v>
      </c>
      <c r="F347" s="13" t="s">
        <v>69</v>
      </c>
      <c r="G347" s="14">
        <v>8000</v>
      </c>
      <c r="H347" s="14">
        <v>0</v>
      </c>
      <c r="I347" s="15" t="s">
        <v>875</v>
      </c>
    </row>
    <row r="348" spans="1:9" x14ac:dyDescent="0.35">
      <c r="A348" s="12" t="s">
        <v>876</v>
      </c>
      <c r="B348" s="13" t="s">
        <v>67</v>
      </c>
      <c r="C348" s="12" t="s">
        <v>877</v>
      </c>
      <c r="D348" s="12" t="s">
        <v>828</v>
      </c>
      <c r="E348" s="13" t="s">
        <v>804</v>
      </c>
      <c r="F348" s="13" t="s">
        <v>69</v>
      </c>
      <c r="G348" s="14">
        <v>22000</v>
      </c>
      <c r="H348" s="14">
        <v>0</v>
      </c>
      <c r="I348" s="12"/>
    </row>
    <row r="349" spans="1:9" x14ac:dyDescent="0.35">
      <c r="A349" s="12" t="s">
        <v>878</v>
      </c>
      <c r="B349" s="13" t="s">
        <v>67</v>
      </c>
      <c r="C349" s="12" t="s">
        <v>879</v>
      </c>
      <c r="D349" s="12" t="s">
        <v>828</v>
      </c>
      <c r="E349" s="13" t="s">
        <v>804</v>
      </c>
      <c r="F349" s="13" t="s">
        <v>69</v>
      </c>
      <c r="G349" s="14">
        <v>12000</v>
      </c>
      <c r="H349" s="14">
        <v>0</v>
      </c>
      <c r="I349" s="15" t="s">
        <v>880</v>
      </c>
    </row>
    <row r="350" spans="1:9" x14ac:dyDescent="0.35">
      <c r="A350" s="12" t="s">
        <v>881</v>
      </c>
      <c r="B350" s="13" t="s">
        <v>67</v>
      </c>
      <c r="C350" s="12" t="s">
        <v>882</v>
      </c>
      <c r="D350" s="12" t="s">
        <v>828</v>
      </c>
      <c r="E350" s="13" t="s">
        <v>804</v>
      </c>
      <c r="F350" s="13" t="s">
        <v>69</v>
      </c>
      <c r="G350" s="14">
        <v>28000</v>
      </c>
      <c r="H350" s="14">
        <v>0</v>
      </c>
      <c r="I350" s="12"/>
    </row>
    <row r="351" spans="1:9" x14ac:dyDescent="0.35">
      <c r="A351" s="12" t="s">
        <v>883</v>
      </c>
      <c r="B351" s="13" t="s">
        <v>67</v>
      </c>
      <c r="C351" s="12" t="s">
        <v>884</v>
      </c>
      <c r="D351" s="12" t="s">
        <v>828</v>
      </c>
      <c r="E351" s="13" t="s">
        <v>804</v>
      </c>
      <c r="F351" s="13" t="s">
        <v>69</v>
      </c>
      <c r="G351" s="14">
        <v>6500</v>
      </c>
      <c r="H351" s="14">
        <v>0</v>
      </c>
      <c r="I351" s="15" t="s">
        <v>885</v>
      </c>
    </row>
    <row r="352" spans="1:9" x14ac:dyDescent="0.35">
      <c r="A352" s="12" t="s">
        <v>886</v>
      </c>
      <c r="B352" s="13" t="s">
        <v>67</v>
      </c>
      <c r="C352" s="12" t="s">
        <v>887</v>
      </c>
      <c r="D352" s="12" t="s">
        <v>828</v>
      </c>
      <c r="E352" s="13" t="s">
        <v>804</v>
      </c>
      <c r="F352" s="13" t="s">
        <v>69</v>
      </c>
      <c r="G352" s="14">
        <v>9000</v>
      </c>
      <c r="H352" s="14">
        <v>0</v>
      </c>
      <c r="I352" s="12"/>
    </row>
    <row r="353" spans="1:9" x14ac:dyDescent="0.35">
      <c r="A353" s="12" t="s">
        <v>888</v>
      </c>
      <c r="B353" s="13" t="s">
        <v>67</v>
      </c>
      <c r="C353" s="12" t="s">
        <v>889</v>
      </c>
      <c r="D353" s="12" t="s">
        <v>828</v>
      </c>
      <c r="E353" s="13" t="s">
        <v>804</v>
      </c>
      <c r="F353" s="13" t="s">
        <v>69</v>
      </c>
      <c r="G353" s="14">
        <v>14000</v>
      </c>
      <c r="H353" s="14">
        <v>0</v>
      </c>
      <c r="I353" s="12"/>
    </row>
    <row r="354" spans="1:9" x14ac:dyDescent="0.35">
      <c r="A354" s="12" t="s">
        <v>890</v>
      </c>
      <c r="B354" s="13" t="s">
        <v>67</v>
      </c>
      <c r="C354" s="12" t="s">
        <v>891</v>
      </c>
      <c r="D354" s="12" t="s">
        <v>828</v>
      </c>
      <c r="E354" s="13" t="s">
        <v>804</v>
      </c>
      <c r="F354" s="13" t="s">
        <v>69</v>
      </c>
      <c r="G354" s="14">
        <v>4500</v>
      </c>
      <c r="H354" s="14">
        <v>0</v>
      </c>
      <c r="I354" s="12"/>
    </row>
    <row r="355" spans="1:9" x14ac:dyDescent="0.35">
      <c r="A355" s="12" t="s">
        <v>892</v>
      </c>
      <c r="B355" s="13" t="s">
        <v>67</v>
      </c>
      <c r="C355" s="12" t="s">
        <v>893</v>
      </c>
      <c r="D355" s="12" t="s">
        <v>828</v>
      </c>
      <c r="E355" s="13" t="s">
        <v>804</v>
      </c>
      <c r="F355" s="13" t="s">
        <v>69</v>
      </c>
      <c r="G355" s="14">
        <v>18000</v>
      </c>
      <c r="H355" s="14">
        <v>0</v>
      </c>
      <c r="I355" s="15" t="s">
        <v>894</v>
      </c>
    </row>
    <row r="356" spans="1:9" x14ac:dyDescent="0.35">
      <c r="A356" s="12" t="s">
        <v>895</v>
      </c>
      <c r="B356" s="13" t="s">
        <v>67</v>
      </c>
      <c r="C356" s="12" t="s">
        <v>896</v>
      </c>
      <c r="D356" s="12" t="s">
        <v>828</v>
      </c>
      <c r="E356" s="13" t="s">
        <v>804</v>
      </c>
      <c r="F356" s="13" t="s">
        <v>69</v>
      </c>
      <c r="G356" s="14">
        <v>6000</v>
      </c>
      <c r="H356" s="14">
        <v>0</v>
      </c>
      <c r="I356" s="12"/>
    </row>
    <row r="357" spans="1:9" x14ac:dyDescent="0.35">
      <c r="A357" s="12" t="s">
        <v>897</v>
      </c>
      <c r="B357" s="13" t="s">
        <v>67</v>
      </c>
      <c r="C357" s="12" t="s">
        <v>898</v>
      </c>
      <c r="D357" s="12" t="s">
        <v>828</v>
      </c>
      <c r="E357" s="13" t="s">
        <v>804</v>
      </c>
      <c r="F357" s="13" t="s">
        <v>69</v>
      </c>
      <c r="G357" s="14">
        <v>4500</v>
      </c>
      <c r="H357" s="14">
        <v>0</v>
      </c>
      <c r="I357" s="15" t="s">
        <v>899</v>
      </c>
    </row>
    <row r="358" spans="1:9" x14ac:dyDescent="0.35">
      <c r="A358" s="12" t="s">
        <v>900</v>
      </c>
      <c r="B358" s="13" t="s">
        <v>67</v>
      </c>
      <c r="C358" s="12" t="s">
        <v>901</v>
      </c>
      <c r="D358" s="12" t="s">
        <v>828</v>
      </c>
      <c r="E358" s="13" t="s">
        <v>804</v>
      </c>
      <c r="F358" s="13" t="s">
        <v>69</v>
      </c>
      <c r="G358" s="14">
        <v>8000</v>
      </c>
      <c r="H358" s="14">
        <v>0</v>
      </c>
      <c r="I358" s="12"/>
    </row>
    <row r="359" spans="1:9" x14ac:dyDescent="0.35">
      <c r="A359" s="12" t="s">
        <v>902</v>
      </c>
      <c r="B359" s="13" t="s">
        <v>67</v>
      </c>
      <c r="C359" s="12" t="s">
        <v>903</v>
      </c>
      <c r="D359" s="12" t="s">
        <v>828</v>
      </c>
      <c r="E359" s="13" t="s">
        <v>804</v>
      </c>
      <c r="F359" s="13" t="s">
        <v>69</v>
      </c>
      <c r="G359" s="14">
        <v>5500</v>
      </c>
      <c r="H359" s="14">
        <v>0</v>
      </c>
      <c r="I359" s="12"/>
    </row>
    <row r="360" spans="1:9" x14ac:dyDescent="0.35">
      <c r="A360" s="9" t="s">
        <v>904</v>
      </c>
      <c r="B360" s="10" t="s">
        <v>63</v>
      </c>
      <c r="C360" s="9" t="s">
        <v>905</v>
      </c>
      <c r="D360" s="9" t="s">
        <v>906</v>
      </c>
      <c r="E360" s="10"/>
      <c r="F360" s="10"/>
      <c r="G360" s="11">
        <f>SUMIFS($G$2:$G$455,$A$2:$A$455,"200.015.*",$B$2:$B$455,"Sottoconto")</f>
        <v>165000</v>
      </c>
      <c r="H360" s="11">
        <f>SUMIFS($H$2:$H$455,$A$2:$A$455,"200.015.*",$B$2:$B$455,"Sottoconto")</f>
        <v>0</v>
      </c>
      <c r="I360" s="9"/>
    </row>
    <row r="361" spans="1:9" x14ac:dyDescent="0.35">
      <c r="A361" s="12" t="s">
        <v>907</v>
      </c>
      <c r="B361" s="13" t="s">
        <v>67</v>
      </c>
      <c r="C361" s="12" t="s">
        <v>908</v>
      </c>
      <c r="D361" s="12" t="s">
        <v>906</v>
      </c>
      <c r="E361" s="13" t="s">
        <v>804</v>
      </c>
      <c r="F361" s="13" t="s">
        <v>69</v>
      </c>
      <c r="G361" s="14">
        <v>60000</v>
      </c>
      <c r="H361" s="14">
        <v>0</v>
      </c>
      <c r="I361" s="12"/>
    </row>
    <row r="362" spans="1:9" x14ac:dyDescent="0.35">
      <c r="A362" s="12" t="s">
        <v>909</v>
      </c>
      <c r="B362" s="13" t="s">
        <v>67</v>
      </c>
      <c r="C362" s="12" t="s">
        <v>910</v>
      </c>
      <c r="D362" s="12" t="s">
        <v>906</v>
      </c>
      <c r="E362" s="13" t="s">
        <v>804</v>
      </c>
      <c r="F362" s="13" t="s">
        <v>69</v>
      </c>
      <c r="G362" s="14">
        <v>45000</v>
      </c>
      <c r="H362" s="14">
        <v>0</v>
      </c>
      <c r="I362" s="12"/>
    </row>
    <row r="363" spans="1:9" x14ac:dyDescent="0.35">
      <c r="A363" s="12" t="s">
        <v>911</v>
      </c>
      <c r="B363" s="13" t="s">
        <v>67</v>
      </c>
      <c r="C363" s="12" t="s">
        <v>912</v>
      </c>
      <c r="D363" s="12" t="s">
        <v>906</v>
      </c>
      <c r="E363" s="13" t="s">
        <v>804</v>
      </c>
      <c r="F363" s="13" t="s">
        <v>69</v>
      </c>
      <c r="G363" s="14">
        <v>0</v>
      </c>
      <c r="H363" s="14">
        <v>0</v>
      </c>
      <c r="I363" s="12"/>
    </row>
    <row r="364" spans="1:9" x14ac:dyDescent="0.35">
      <c r="A364" s="12" t="s">
        <v>913</v>
      </c>
      <c r="B364" s="13" t="s">
        <v>67</v>
      </c>
      <c r="C364" s="12" t="s">
        <v>914</v>
      </c>
      <c r="D364" s="12" t="s">
        <v>906</v>
      </c>
      <c r="E364" s="13" t="s">
        <v>804</v>
      </c>
      <c r="F364" s="13" t="s">
        <v>69</v>
      </c>
      <c r="G364" s="14">
        <v>12000</v>
      </c>
      <c r="H364" s="14">
        <v>0</v>
      </c>
      <c r="I364" s="12"/>
    </row>
    <row r="365" spans="1:9" x14ac:dyDescent="0.35">
      <c r="A365" s="12" t="s">
        <v>915</v>
      </c>
      <c r="B365" s="13" t="s">
        <v>67</v>
      </c>
      <c r="C365" s="12" t="s">
        <v>916</v>
      </c>
      <c r="D365" s="12" t="s">
        <v>906</v>
      </c>
      <c r="E365" s="13" t="s">
        <v>804</v>
      </c>
      <c r="F365" s="13" t="s">
        <v>69</v>
      </c>
      <c r="G365" s="14">
        <v>18000</v>
      </c>
      <c r="H365" s="14">
        <v>0</v>
      </c>
      <c r="I365" s="15" t="s">
        <v>917</v>
      </c>
    </row>
    <row r="366" spans="1:9" x14ac:dyDescent="0.35">
      <c r="A366" s="12" t="s">
        <v>918</v>
      </c>
      <c r="B366" s="13" t="s">
        <v>67</v>
      </c>
      <c r="C366" s="12" t="s">
        <v>919</v>
      </c>
      <c r="D366" s="12" t="s">
        <v>906</v>
      </c>
      <c r="E366" s="13" t="s">
        <v>804</v>
      </c>
      <c r="F366" s="13" t="s">
        <v>69</v>
      </c>
      <c r="G366" s="14">
        <v>8000</v>
      </c>
      <c r="H366" s="14">
        <v>0</v>
      </c>
      <c r="I366" s="12"/>
    </row>
    <row r="367" spans="1:9" x14ac:dyDescent="0.35">
      <c r="A367" s="12" t="s">
        <v>920</v>
      </c>
      <c r="B367" s="13" t="s">
        <v>67</v>
      </c>
      <c r="C367" s="12" t="s">
        <v>921</v>
      </c>
      <c r="D367" s="12" t="s">
        <v>906</v>
      </c>
      <c r="E367" s="13" t="s">
        <v>804</v>
      </c>
      <c r="F367" s="13" t="s">
        <v>69</v>
      </c>
      <c r="G367" s="14">
        <v>22000</v>
      </c>
      <c r="H367" s="14">
        <v>0</v>
      </c>
      <c r="I367" s="15" t="s">
        <v>922</v>
      </c>
    </row>
    <row r="368" spans="1:9" x14ac:dyDescent="0.35">
      <c r="A368" s="9" t="s">
        <v>923</v>
      </c>
      <c r="B368" s="10" t="s">
        <v>63</v>
      </c>
      <c r="C368" s="9" t="s">
        <v>924</v>
      </c>
      <c r="D368" s="9" t="s">
        <v>925</v>
      </c>
      <c r="E368" s="10"/>
      <c r="F368" s="10"/>
      <c r="G368" s="11">
        <f>SUMIFS($G$2:$G$455,$A$2:$A$455,"200.020.*",$B$2:$B$455,"Sottoconto")</f>
        <v>837000</v>
      </c>
      <c r="H368" s="11">
        <f>SUMIFS($H$2:$H$455,$A$2:$A$455,"200.020.*",$B$2:$B$455,"Sottoconto")</f>
        <v>0</v>
      </c>
      <c r="I368" s="9"/>
    </row>
    <row r="369" spans="1:9" x14ac:dyDescent="0.35">
      <c r="A369" s="12" t="s">
        <v>926</v>
      </c>
      <c r="B369" s="13" t="s">
        <v>67</v>
      </c>
      <c r="C369" s="12" t="s">
        <v>927</v>
      </c>
      <c r="D369" s="12" t="s">
        <v>928</v>
      </c>
      <c r="E369" s="13" t="s">
        <v>804</v>
      </c>
      <c r="F369" s="13" t="s">
        <v>69</v>
      </c>
      <c r="G369" s="14">
        <v>580000</v>
      </c>
      <c r="H369" s="14">
        <v>0</v>
      </c>
      <c r="I369" s="12"/>
    </row>
    <row r="370" spans="1:9" x14ac:dyDescent="0.35">
      <c r="A370" s="12" t="s">
        <v>929</v>
      </c>
      <c r="B370" s="13" t="s">
        <v>67</v>
      </c>
      <c r="C370" s="12" t="s">
        <v>930</v>
      </c>
      <c r="D370" s="12" t="s">
        <v>931</v>
      </c>
      <c r="E370" s="13" t="s">
        <v>804</v>
      </c>
      <c r="F370" s="13" t="s">
        <v>69</v>
      </c>
      <c r="G370" s="14">
        <v>175000</v>
      </c>
      <c r="H370" s="14">
        <v>0</v>
      </c>
      <c r="I370" s="12"/>
    </row>
    <row r="371" spans="1:9" x14ac:dyDescent="0.35">
      <c r="A371" s="12" t="s">
        <v>932</v>
      </c>
      <c r="B371" s="13" t="s">
        <v>67</v>
      </c>
      <c r="C371" s="12" t="s">
        <v>933</v>
      </c>
      <c r="D371" s="12" t="s">
        <v>931</v>
      </c>
      <c r="E371" s="13" t="s">
        <v>804</v>
      </c>
      <c r="F371" s="13" t="s">
        <v>69</v>
      </c>
      <c r="G371" s="14">
        <v>12000</v>
      </c>
      <c r="H371" s="14">
        <v>0</v>
      </c>
      <c r="I371" s="12"/>
    </row>
    <row r="372" spans="1:9" x14ac:dyDescent="0.35">
      <c r="A372" s="12" t="s">
        <v>934</v>
      </c>
      <c r="B372" s="13" t="s">
        <v>67</v>
      </c>
      <c r="C372" s="12" t="s">
        <v>935</v>
      </c>
      <c r="D372" s="12" t="s">
        <v>936</v>
      </c>
      <c r="E372" s="13" t="s">
        <v>804</v>
      </c>
      <c r="F372" s="13" t="s">
        <v>69</v>
      </c>
      <c r="G372" s="14">
        <v>42000</v>
      </c>
      <c r="H372" s="14">
        <v>0</v>
      </c>
      <c r="I372" s="15" t="s">
        <v>937</v>
      </c>
    </row>
    <row r="373" spans="1:9" x14ac:dyDescent="0.35">
      <c r="A373" s="12" t="s">
        <v>938</v>
      </c>
      <c r="B373" s="13" t="s">
        <v>67</v>
      </c>
      <c r="C373" s="12" t="s">
        <v>939</v>
      </c>
      <c r="D373" s="12" t="s">
        <v>940</v>
      </c>
      <c r="E373" s="13" t="s">
        <v>804</v>
      </c>
      <c r="F373" s="13" t="s">
        <v>69</v>
      </c>
      <c r="G373" s="14">
        <v>0</v>
      </c>
      <c r="H373" s="14">
        <v>0</v>
      </c>
      <c r="I373" s="12"/>
    </row>
    <row r="374" spans="1:9" x14ac:dyDescent="0.35">
      <c r="A374" s="12" t="s">
        <v>941</v>
      </c>
      <c r="B374" s="13" t="s">
        <v>67</v>
      </c>
      <c r="C374" s="12" t="s">
        <v>942</v>
      </c>
      <c r="D374" s="12" t="s">
        <v>943</v>
      </c>
      <c r="E374" s="13" t="s">
        <v>804</v>
      </c>
      <c r="F374" s="13" t="s">
        <v>69</v>
      </c>
      <c r="G374" s="14">
        <v>8000</v>
      </c>
      <c r="H374" s="14">
        <v>0</v>
      </c>
      <c r="I374" s="12"/>
    </row>
    <row r="375" spans="1:9" x14ac:dyDescent="0.35">
      <c r="A375" s="12" t="s">
        <v>944</v>
      </c>
      <c r="B375" s="13" t="s">
        <v>67</v>
      </c>
      <c r="C375" s="12" t="s">
        <v>945</v>
      </c>
      <c r="D375" s="12" t="s">
        <v>943</v>
      </c>
      <c r="E375" s="13" t="s">
        <v>804</v>
      </c>
      <c r="F375" s="13" t="s">
        <v>69</v>
      </c>
      <c r="G375" s="14">
        <v>15000</v>
      </c>
      <c r="H375" s="14">
        <v>0</v>
      </c>
      <c r="I375" s="12"/>
    </row>
    <row r="376" spans="1:9" x14ac:dyDescent="0.35">
      <c r="A376" s="12" t="s">
        <v>946</v>
      </c>
      <c r="B376" s="13" t="s">
        <v>67</v>
      </c>
      <c r="C376" s="12" t="s">
        <v>947</v>
      </c>
      <c r="D376" s="12" t="s">
        <v>943</v>
      </c>
      <c r="E376" s="13" t="s">
        <v>804</v>
      </c>
      <c r="F376" s="13" t="s">
        <v>69</v>
      </c>
      <c r="G376" s="14">
        <v>5000</v>
      </c>
      <c r="H376" s="14">
        <v>0</v>
      </c>
      <c r="I376" s="12"/>
    </row>
    <row r="377" spans="1:9" x14ac:dyDescent="0.35">
      <c r="A377" s="9" t="s">
        <v>948</v>
      </c>
      <c r="B377" s="10" t="s">
        <v>63</v>
      </c>
      <c r="C377" s="9" t="s">
        <v>949</v>
      </c>
      <c r="D377" s="9" t="s">
        <v>950</v>
      </c>
      <c r="E377" s="10"/>
      <c r="F377" s="10"/>
      <c r="G377" s="11">
        <f>SUMIFS($G$2:$G$455,$A$2:$A$455,"200.025.*",$B$2:$B$455,"Sottoconto")</f>
        <v>185000</v>
      </c>
      <c r="H377" s="11">
        <f>SUMIFS($H$2:$H$455,$A$2:$A$455,"200.025.*",$B$2:$B$455,"Sottoconto")</f>
        <v>0</v>
      </c>
      <c r="I377" s="9"/>
    </row>
    <row r="378" spans="1:9" x14ac:dyDescent="0.35">
      <c r="A378" s="12" t="s">
        <v>951</v>
      </c>
      <c r="B378" s="13" t="s">
        <v>67</v>
      </c>
      <c r="C378" s="12" t="s">
        <v>952</v>
      </c>
      <c r="D378" s="12" t="s">
        <v>953</v>
      </c>
      <c r="E378" s="13" t="s">
        <v>804</v>
      </c>
      <c r="F378" s="13" t="s">
        <v>69</v>
      </c>
      <c r="G378" s="14">
        <v>28000</v>
      </c>
      <c r="H378" s="14">
        <v>0</v>
      </c>
      <c r="I378" s="12"/>
    </row>
    <row r="379" spans="1:9" x14ac:dyDescent="0.35">
      <c r="A379" s="12" t="s">
        <v>954</v>
      </c>
      <c r="B379" s="13" t="s">
        <v>67</v>
      </c>
      <c r="C379" s="12" t="s">
        <v>955</v>
      </c>
      <c r="D379" s="12" t="s">
        <v>956</v>
      </c>
      <c r="E379" s="13" t="s">
        <v>804</v>
      </c>
      <c r="F379" s="13" t="s">
        <v>69</v>
      </c>
      <c r="G379" s="14">
        <v>145000</v>
      </c>
      <c r="H379" s="14">
        <v>0</v>
      </c>
      <c r="I379" s="12"/>
    </row>
    <row r="380" spans="1:9" x14ac:dyDescent="0.35">
      <c r="A380" s="12" t="s">
        <v>957</v>
      </c>
      <c r="B380" s="13" t="s">
        <v>67</v>
      </c>
      <c r="C380" s="12" t="s">
        <v>958</v>
      </c>
      <c r="D380" s="12" t="s">
        <v>959</v>
      </c>
      <c r="E380" s="13" t="s">
        <v>804</v>
      </c>
      <c r="F380" s="13" t="s">
        <v>69</v>
      </c>
      <c r="G380" s="14">
        <v>0</v>
      </c>
      <c r="H380" s="14">
        <v>0</v>
      </c>
      <c r="I380" s="12"/>
    </row>
    <row r="381" spans="1:9" x14ac:dyDescent="0.35">
      <c r="A381" s="12" t="s">
        <v>960</v>
      </c>
      <c r="B381" s="13" t="s">
        <v>67</v>
      </c>
      <c r="C381" s="12" t="s">
        <v>961</v>
      </c>
      <c r="D381" s="12" t="s">
        <v>962</v>
      </c>
      <c r="E381" s="13" t="s">
        <v>804</v>
      </c>
      <c r="F381" s="13" t="s">
        <v>69</v>
      </c>
      <c r="G381" s="14">
        <v>12000</v>
      </c>
      <c r="H381" s="14">
        <v>0</v>
      </c>
      <c r="I381" s="15" t="s">
        <v>963</v>
      </c>
    </row>
    <row r="382" spans="1:9" x14ac:dyDescent="0.35">
      <c r="A382" s="9" t="s">
        <v>964</v>
      </c>
      <c r="B382" s="10" t="s">
        <v>63</v>
      </c>
      <c r="C382" s="9" t="s">
        <v>965</v>
      </c>
      <c r="D382" s="9" t="s">
        <v>966</v>
      </c>
      <c r="E382" s="10"/>
      <c r="F382" s="10"/>
      <c r="G382" s="11">
        <f>SUMIFS($G$2:$G$455,$A$2:$A$455,"200.030.*",$B$2:$B$455,"Sottoconto")</f>
        <v>5000</v>
      </c>
      <c r="H382" s="11">
        <f>SUMIFS($H$2:$H$455,$A$2:$A$455,"200.030.*",$B$2:$B$455,"Sottoconto")</f>
        <v>25000</v>
      </c>
      <c r="I382" s="16" t="s">
        <v>762</v>
      </c>
    </row>
    <row r="383" spans="1:9" x14ac:dyDescent="0.35">
      <c r="A383" s="12" t="s">
        <v>967</v>
      </c>
      <c r="B383" s="13" t="s">
        <v>67</v>
      </c>
      <c r="C383" s="12" t="s">
        <v>968</v>
      </c>
      <c r="D383" s="12" t="s">
        <v>966</v>
      </c>
      <c r="E383" s="13" t="s">
        <v>804</v>
      </c>
      <c r="F383" s="13" t="s">
        <v>69</v>
      </c>
      <c r="G383" s="14">
        <v>0</v>
      </c>
      <c r="H383" s="14">
        <v>25000</v>
      </c>
      <c r="I383" s="12"/>
    </row>
    <row r="384" spans="1:9" x14ac:dyDescent="0.35">
      <c r="A384" s="12" t="s">
        <v>969</v>
      </c>
      <c r="B384" s="13" t="s">
        <v>67</v>
      </c>
      <c r="C384" s="12" t="s">
        <v>970</v>
      </c>
      <c r="D384" s="12" t="s">
        <v>966</v>
      </c>
      <c r="E384" s="13" t="s">
        <v>804</v>
      </c>
      <c r="F384" s="13" t="s">
        <v>69</v>
      </c>
      <c r="G384" s="14">
        <v>0</v>
      </c>
      <c r="H384" s="14">
        <v>0</v>
      </c>
      <c r="I384" s="12"/>
    </row>
    <row r="385" spans="1:9" x14ac:dyDescent="0.35">
      <c r="A385" s="12" t="s">
        <v>971</v>
      </c>
      <c r="B385" s="13" t="s">
        <v>67</v>
      </c>
      <c r="C385" s="12" t="s">
        <v>972</v>
      </c>
      <c r="D385" s="12" t="s">
        <v>966</v>
      </c>
      <c r="E385" s="13" t="s">
        <v>804</v>
      </c>
      <c r="F385" s="13" t="s">
        <v>69</v>
      </c>
      <c r="G385" s="14">
        <v>0</v>
      </c>
      <c r="H385" s="14">
        <v>0</v>
      </c>
      <c r="I385" s="12"/>
    </row>
    <row r="386" spans="1:9" x14ac:dyDescent="0.35">
      <c r="A386" s="12" t="s">
        <v>973</v>
      </c>
      <c r="B386" s="13" t="s">
        <v>67</v>
      </c>
      <c r="C386" s="12" t="s">
        <v>974</v>
      </c>
      <c r="D386" s="12" t="s">
        <v>966</v>
      </c>
      <c r="E386" s="13" t="s">
        <v>804</v>
      </c>
      <c r="F386" s="13" t="s">
        <v>69</v>
      </c>
      <c r="G386" s="14">
        <v>5000</v>
      </c>
      <c r="H386" s="14">
        <v>0</v>
      </c>
      <c r="I386" s="12"/>
    </row>
    <row r="387" spans="1:9" x14ac:dyDescent="0.35">
      <c r="A387" s="9" t="s">
        <v>975</v>
      </c>
      <c r="B387" s="10" t="s">
        <v>63</v>
      </c>
      <c r="C387" s="9" t="s">
        <v>976</v>
      </c>
      <c r="D387" s="9" t="s">
        <v>977</v>
      </c>
      <c r="E387" s="10"/>
      <c r="F387" s="10"/>
      <c r="G387" s="11">
        <f>SUMIFS($G$2:$G$455,$A$2:$A$455,"200.035.*",$B$2:$B$455,"Sottoconto")</f>
        <v>8000</v>
      </c>
      <c r="H387" s="11">
        <f>SUMIFS($H$2:$H$455,$A$2:$A$455,"200.035.*",$B$2:$B$455,"Sottoconto")</f>
        <v>0</v>
      </c>
      <c r="I387" s="9"/>
    </row>
    <row r="388" spans="1:9" x14ac:dyDescent="0.35">
      <c r="A388" s="12" t="s">
        <v>978</v>
      </c>
      <c r="B388" s="13" t="s">
        <v>67</v>
      </c>
      <c r="C388" s="12" t="s">
        <v>979</v>
      </c>
      <c r="D388" s="12" t="s">
        <v>977</v>
      </c>
      <c r="E388" s="13" t="s">
        <v>804</v>
      </c>
      <c r="F388" s="13" t="s">
        <v>69</v>
      </c>
      <c r="G388" s="14">
        <v>8000</v>
      </c>
      <c r="H388" s="14">
        <v>0</v>
      </c>
      <c r="I388" s="12"/>
    </row>
    <row r="389" spans="1:9" x14ac:dyDescent="0.35">
      <c r="A389" s="12" t="s">
        <v>980</v>
      </c>
      <c r="B389" s="13" t="s">
        <v>67</v>
      </c>
      <c r="C389" s="12" t="s">
        <v>981</v>
      </c>
      <c r="D389" s="12" t="s">
        <v>977</v>
      </c>
      <c r="E389" s="13" t="s">
        <v>804</v>
      </c>
      <c r="F389" s="13" t="s">
        <v>69</v>
      </c>
      <c r="G389" s="14">
        <v>0</v>
      </c>
      <c r="H389" s="14">
        <v>0</v>
      </c>
      <c r="I389" s="12"/>
    </row>
    <row r="390" spans="1:9" x14ac:dyDescent="0.35">
      <c r="A390" s="12" t="s">
        <v>982</v>
      </c>
      <c r="B390" s="13" t="s">
        <v>67</v>
      </c>
      <c r="C390" s="12" t="s">
        <v>983</v>
      </c>
      <c r="D390" s="12" t="s">
        <v>977</v>
      </c>
      <c r="E390" s="13" t="s">
        <v>804</v>
      </c>
      <c r="F390" s="13" t="s">
        <v>69</v>
      </c>
      <c r="G390" s="14">
        <v>0</v>
      </c>
      <c r="H390" s="14">
        <v>0</v>
      </c>
      <c r="I390" s="12"/>
    </row>
    <row r="391" spans="1:9" x14ac:dyDescent="0.35">
      <c r="A391" s="9" t="s">
        <v>984</v>
      </c>
      <c r="B391" s="10" t="s">
        <v>63</v>
      </c>
      <c r="C391" s="9" t="s">
        <v>985</v>
      </c>
      <c r="D391" s="9" t="s">
        <v>986</v>
      </c>
      <c r="E391" s="10"/>
      <c r="F391" s="10"/>
      <c r="G391" s="11">
        <f>SUMIFS($G$2:$G$455,$A$2:$A$455,"200.040.*",$B$2:$B$455,"Sottoconto")</f>
        <v>0</v>
      </c>
      <c r="H391" s="11">
        <f>SUMIFS($H$2:$H$455,$A$2:$A$455,"200.040.*",$B$2:$B$455,"Sottoconto")</f>
        <v>0</v>
      </c>
      <c r="I391" s="9"/>
    </row>
    <row r="392" spans="1:9" x14ac:dyDescent="0.35">
      <c r="A392" s="12" t="s">
        <v>987</v>
      </c>
      <c r="B392" s="13" t="s">
        <v>67</v>
      </c>
      <c r="C392" s="12" t="s">
        <v>988</v>
      </c>
      <c r="D392" s="12" t="s">
        <v>986</v>
      </c>
      <c r="E392" s="13" t="s">
        <v>804</v>
      </c>
      <c r="F392" s="13" t="s">
        <v>69</v>
      </c>
      <c r="G392" s="14">
        <v>0</v>
      </c>
      <c r="H392" s="14">
        <v>0</v>
      </c>
      <c r="I392" s="12"/>
    </row>
    <row r="393" spans="1:9" x14ac:dyDescent="0.35">
      <c r="A393" s="12" t="s">
        <v>989</v>
      </c>
      <c r="B393" s="13" t="s">
        <v>67</v>
      </c>
      <c r="C393" s="12" t="s">
        <v>985</v>
      </c>
      <c r="D393" s="12" t="s">
        <v>986</v>
      </c>
      <c r="E393" s="13" t="s">
        <v>804</v>
      </c>
      <c r="F393" s="13" t="s">
        <v>69</v>
      </c>
      <c r="G393" s="14">
        <v>0</v>
      </c>
      <c r="H393" s="14">
        <v>0</v>
      </c>
      <c r="I393" s="12"/>
    </row>
    <row r="394" spans="1:9" x14ac:dyDescent="0.35">
      <c r="A394" s="9" t="s">
        <v>990</v>
      </c>
      <c r="B394" s="10" t="s">
        <v>63</v>
      </c>
      <c r="C394" s="9" t="s">
        <v>991</v>
      </c>
      <c r="D394" s="9" t="s">
        <v>992</v>
      </c>
      <c r="E394" s="10"/>
      <c r="F394" s="10"/>
      <c r="G394" s="11">
        <f>SUMIFS($G$2:$G$455,$A$2:$A$455,"200.045.*",$B$2:$B$455,"Sottoconto")</f>
        <v>36100</v>
      </c>
      <c r="H394" s="11">
        <f>SUMIFS($H$2:$H$455,$A$2:$A$455,"200.045.*",$B$2:$B$455,"Sottoconto")</f>
        <v>0</v>
      </c>
      <c r="I394" s="9"/>
    </row>
    <row r="395" spans="1:9" x14ac:dyDescent="0.35">
      <c r="A395" s="12" t="s">
        <v>993</v>
      </c>
      <c r="B395" s="13" t="s">
        <v>67</v>
      </c>
      <c r="C395" s="12" t="s">
        <v>994</v>
      </c>
      <c r="D395" s="12" t="s">
        <v>992</v>
      </c>
      <c r="E395" s="13" t="s">
        <v>804</v>
      </c>
      <c r="F395" s="13" t="s">
        <v>69</v>
      </c>
      <c r="G395" s="14">
        <v>12000</v>
      </c>
      <c r="H395" s="14">
        <v>0</v>
      </c>
      <c r="I395" s="15" t="s">
        <v>995</v>
      </c>
    </row>
    <row r="396" spans="1:9" x14ac:dyDescent="0.35">
      <c r="A396" s="12" t="s">
        <v>996</v>
      </c>
      <c r="B396" s="13" t="s">
        <v>67</v>
      </c>
      <c r="C396" s="12" t="s">
        <v>997</v>
      </c>
      <c r="D396" s="12" t="s">
        <v>992</v>
      </c>
      <c r="E396" s="13" t="s">
        <v>804</v>
      </c>
      <c r="F396" s="13" t="s">
        <v>69</v>
      </c>
      <c r="G396" s="14">
        <v>4500</v>
      </c>
      <c r="H396" s="14">
        <v>0</v>
      </c>
      <c r="I396" s="12"/>
    </row>
    <row r="397" spans="1:9" x14ac:dyDescent="0.35">
      <c r="A397" s="12" t="s">
        <v>998</v>
      </c>
      <c r="B397" s="13" t="s">
        <v>67</v>
      </c>
      <c r="C397" s="12" t="s">
        <v>999</v>
      </c>
      <c r="D397" s="12" t="s">
        <v>992</v>
      </c>
      <c r="E397" s="13" t="s">
        <v>804</v>
      </c>
      <c r="F397" s="13" t="s">
        <v>69</v>
      </c>
      <c r="G397" s="14">
        <v>2500</v>
      </c>
      <c r="H397" s="14">
        <v>0</v>
      </c>
      <c r="I397" s="12"/>
    </row>
    <row r="398" spans="1:9" x14ac:dyDescent="0.35">
      <c r="A398" s="12" t="s">
        <v>1000</v>
      </c>
      <c r="B398" s="13" t="s">
        <v>67</v>
      </c>
      <c r="C398" s="12" t="s">
        <v>1001</v>
      </c>
      <c r="D398" s="12" t="s">
        <v>992</v>
      </c>
      <c r="E398" s="13" t="s">
        <v>804</v>
      </c>
      <c r="F398" s="13" t="s">
        <v>69</v>
      </c>
      <c r="G398" s="14">
        <v>1800</v>
      </c>
      <c r="H398" s="14">
        <v>0</v>
      </c>
      <c r="I398" s="12"/>
    </row>
    <row r="399" spans="1:9" x14ac:dyDescent="0.35">
      <c r="A399" s="12" t="s">
        <v>1002</v>
      </c>
      <c r="B399" s="13" t="s">
        <v>67</v>
      </c>
      <c r="C399" s="12" t="s">
        <v>1003</v>
      </c>
      <c r="D399" s="12" t="s">
        <v>992</v>
      </c>
      <c r="E399" s="13" t="s">
        <v>804</v>
      </c>
      <c r="F399" s="13" t="s">
        <v>69</v>
      </c>
      <c r="G399" s="14">
        <v>800</v>
      </c>
      <c r="H399" s="14">
        <v>0</v>
      </c>
      <c r="I399" s="12"/>
    </row>
    <row r="400" spans="1:9" x14ac:dyDescent="0.35">
      <c r="A400" s="12" t="s">
        <v>1004</v>
      </c>
      <c r="B400" s="13" t="s">
        <v>67</v>
      </c>
      <c r="C400" s="12" t="s">
        <v>1005</v>
      </c>
      <c r="D400" s="12" t="s">
        <v>992</v>
      </c>
      <c r="E400" s="13" t="s">
        <v>804</v>
      </c>
      <c r="F400" s="13" t="s">
        <v>69</v>
      </c>
      <c r="G400" s="14">
        <v>0</v>
      </c>
      <c r="H400" s="14">
        <v>0</v>
      </c>
      <c r="I400" s="12"/>
    </row>
    <row r="401" spans="1:9" x14ac:dyDescent="0.35">
      <c r="A401" s="12" t="s">
        <v>1006</v>
      </c>
      <c r="B401" s="13" t="s">
        <v>67</v>
      </c>
      <c r="C401" s="12" t="s">
        <v>1007</v>
      </c>
      <c r="D401" s="12" t="s">
        <v>992</v>
      </c>
      <c r="E401" s="13" t="s">
        <v>804</v>
      </c>
      <c r="F401" s="13" t="s">
        <v>69</v>
      </c>
      <c r="G401" s="14">
        <v>2200</v>
      </c>
      <c r="H401" s="14">
        <v>0</v>
      </c>
      <c r="I401" s="12"/>
    </row>
    <row r="402" spans="1:9" x14ac:dyDescent="0.35">
      <c r="A402" s="12" t="s">
        <v>1008</v>
      </c>
      <c r="B402" s="13" t="s">
        <v>67</v>
      </c>
      <c r="C402" s="12" t="s">
        <v>1009</v>
      </c>
      <c r="D402" s="12" t="s">
        <v>992</v>
      </c>
      <c r="E402" s="13" t="s">
        <v>804</v>
      </c>
      <c r="F402" s="13" t="s">
        <v>69</v>
      </c>
      <c r="G402" s="14">
        <v>0</v>
      </c>
      <c r="H402" s="14">
        <v>0</v>
      </c>
      <c r="I402" s="12"/>
    </row>
    <row r="403" spans="1:9" x14ac:dyDescent="0.35">
      <c r="A403" s="12" t="s">
        <v>1010</v>
      </c>
      <c r="B403" s="13" t="s">
        <v>67</v>
      </c>
      <c r="C403" s="12" t="s">
        <v>1011</v>
      </c>
      <c r="D403" s="12" t="s">
        <v>992</v>
      </c>
      <c r="E403" s="13" t="s">
        <v>804</v>
      </c>
      <c r="F403" s="13" t="s">
        <v>69</v>
      </c>
      <c r="G403" s="14">
        <v>3500</v>
      </c>
      <c r="H403" s="14">
        <v>0</v>
      </c>
      <c r="I403" s="12"/>
    </row>
    <row r="404" spans="1:9" x14ac:dyDescent="0.35">
      <c r="A404" s="12" t="s">
        <v>1012</v>
      </c>
      <c r="B404" s="13" t="s">
        <v>67</v>
      </c>
      <c r="C404" s="12" t="s">
        <v>1013</v>
      </c>
      <c r="D404" s="12" t="s">
        <v>992</v>
      </c>
      <c r="E404" s="13" t="s">
        <v>804</v>
      </c>
      <c r="F404" s="13" t="s">
        <v>69</v>
      </c>
      <c r="G404" s="14">
        <v>4000</v>
      </c>
      <c r="H404" s="14">
        <v>0</v>
      </c>
      <c r="I404" s="12"/>
    </row>
    <row r="405" spans="1:9" x14ac:dyDescent="0.35">
      <c r="A405" s="12" t="s">
        <v>1014</v>
      </c>
      <c r="B405" s="13" t="s">
        <v>67</v>
      </c>
      <c r="C405" s="12" t="s">
        <v>1015</v>
      </c>
      <c r="D405" s="12" t="s">
        <v>992</v>
      </c>
      <c r="E405" s="13" t="s">
        <v>804</v>
      </c>
      <c r="F405" s="13" t="s">
        <v>69</v>
      </c>
      <c r="G405" s="14">
        <v>2500</v>
      </c>
      <c r="H405" s="14">
        <v>0</v>
      </c>
      <c r="I405" s="12"/>
    </row>
    <row r="406" spans="1:9" x14ac:dyDescent="0.35">
      <c r="A406" s="12" t="s">
        <v>1016</v>
      </c>
      <c r="B406" s="13" t="s">
        <v>67</v>
      </c>
      <c r="C406" s="12" t="s">
        <v>1017</v>
      </c>
      <c r="D406" s="12" t="s">
        <v>992</v>
      </c>
      <c r="E406" s="13" t="s">
        <v>804</v>
      </c>
      <c r="F406" s="13" t="s">
        <v>69</v>
      </c>
      <c r="G406" s="14">
        <v>1500</v>
      </c>
      <c r="H406" s="14">
        <v>0</v>
      </c>
      <c r="I406" s="15" t="s">
        <v>1018</v>
      </c>
    </row>
    <row r="407" spans="1:9" x14ac:dyDescent="0.35">
      <c r="A407" s="12" t="s">
        <v>1019</v>
      </c>
      <c r="B407" s="13" t="s">
        <v>67</v>
      </c>
      <c r="C407" s="12" t="s">
        <v>1020</v>
      </c>
      <c r="D407" s="12" t="s">
        <v>992</v>
      </c>
      <c r="E407" s="13" t="s">
        <v>804</v>
      </c>
      <c r="F407" s="13" t="s">
        <v>69</v>
      </c>
      <c r="G407" s="14">
        <v>0</v>
      </c>
      <c r="H407" s="14">
        <v>0</v>
      </c>
      <c r="I407" s="15" t="s">
        <v>1021</v>
      </c>
    </row>
    <row r="408" spans="1:9" x14ac:dyDescent="0.35">
      <c r="A408" s="12" t="s">
        <v>1022</v>
      </c>
      <c r="B408" s="13" t="s">
        <v>67</v>
      </c>
      <c r="C408" s="12" t="s">
        <v>1023</v>
      </c>
      <c r="D408" s="12" t="s">
        <v>992</v>
      </c>
      <c r="E408" s="13" t="s">
        <v>804</v>
      </c>
      <c r="F408" s="13" t="s">
        <v>69</v>
      </c>
      <c r="G408" s="14">
        <v>800</v>
      </c>
      <c r="H408" s="14">
        <v>0</v>
      </c>
      <c r="I408" s="15" t="s">
        <v>1024</v>
      </c>
    </row>
    <row r="409" spans="1:9" x14ac:dyDescent="0.35">
      <c r="A409" s="12" t="s">
        <v>1025</v>
      </c>
      <c r="B409" s="13" t="s">
        <v>67</v>
      </c>
      <c r="C409" s="12" t="s">
        <v>1026</v>
      </c>
      <c r="D409" s="12" t="s">
        <v>992</v>
      </c>
      <c r="E409" s="13" t="s">
        <v>804</v>
      </c>
      <c r="F409" s="13" t="s">
        <v>69</v>
      </c>
      <c r="G409" s="14">
        <v>0</v>
      </c>
      <c r="H409" s="14">
        <v>0</v>
      </c>
      <c r="I409" s="12"/>
    </row>
    <row r="410" spans="1:9" x14ac:dyDescent="0.35">
      <c r="A410" s="6" t="s">
        <v>1027</v>
      </c>
      <c r="B410" s="7" t="s">
        <v>58</v>
      </c>
      <c r="C410" s="6" t="s">
        <v>1028</v>
      </c>
      <c r="D410" s="6" t="s">
        <v>584</v>
      </c>
      <c r="E410" s="7" t="s">
        <v>738</v>
      </c>
      <c r="F410" s="7"/>
      <c r="G410" s="8">
        <f>SUMIFS($G$2:$G$455,$A$2:$A$455,"400.*",$B$2:$B$455,"Sottoconto")</f>
        <v>0</v>
      </c>
      <c r="H410" s="8">
        <f>SUMIFS($H$2:$H$455,$A$2:$A$455,"400.*",$B$2:$B$455,"Sottoconto")</f>
        <v>5800</v>
      </c>
      <c r="I410" s="6"/>
    </row>
    <row r="411" spans="1:9" x14ac:dyDescent="0.35">
      <c r="A411" s="9" t="s">
        <v>1029</v>
      </c>
      <c r="B411" s="10" t="s">
        <v>63</v>
      </c>
      <c r="C411" s="9" t="s">
        <v>1030</v>
      </c>
      <c r="D411" s="9" t="s">
        <v>1031</v>
      </c>
      <c r="E411" s="10"/>
      <c r="F411" s="10"/>
      <c r="G411" s="11">
        <f>SUMIFS($G$2:$G$455,$A$2:$A$455,"400.005.*",$B$2:$B$455,"Sottoconto")</f>
        <v>0</v>
      </c>
      <c r="H411" s="11">
        <f>SUMIFS($H$2:$H$455,$A$2:$A$455,"400.005.*",$B$2:$B$455,"Sottoconto")</f>
        <v>0</v>
      </c>
      <c r="I411" s="9"/>
    </row>
    <row r="412" spans="1:9" x14ac:dyDescent="0.35">
      <c r="A412" s="12" t="s">
        <v>1032</v>
      </c>
      <c r="B412" s="13" t="s">
        <v>67</v>
      </c>
      <c r="C412" s="12" t="s">
        <v>1033</v>
      </c>
      <c r="D412" s="12" t="s">
        <v>1031</v>
      </c>
      <c r="E412" s="13" t="s">
        <v>738</v>
      </c>
      <c r="F412" s="13" t="s">
        <v>76</v>
      </c>
      <c r="G412" s="14">
        <v>0</v>
      </c>
      <c r="H412" s="14">
        <v>0</v>
      </c>
      <c r="I412" s="12"/>
    </row>
    <row r="413" spans="1:9" x14ac:dyDescent="0.35">
      <c r="A413" s="12" t="s">
        <v>1034</v>
      </c>
      <c r="B413" s="13" t="s">
        <v>67</v>
      </c>
      <c r="C413" s="12" t="s">
        <v>1035</v>
      </c>
      <c r="D413" s="12" t="s">
        <v>1031</v>
      </c>
      <c r="E413" s="13" t="s">
        <v>738</v>
      </c>
      <c r="F413" s="13" t="s">
        <v>76</v>
      </c>
      <c r="G413" s="14">
        <v>0</v>
      </c>
      <c r="H413" s="14">
        <v>0</v>
      </c>
      <c r="I413" s="12"/>
    </row>
    <row r="414" spans="1:9" x14ac:dyDescent="0.35">
      <c r="A414" s="12" t="s">
        <v>1036</v>
      </c>
      <c r="B414" s="13" t="s">
        <v>67</v>
      </c>
      <c r="C414" s="12" t="s">
        <v>1037</v>
      </c>
      <c r="D414" s="12" t="s">
        <v>1031</v>
      </c>
      <c r="E414" s="13" t="s">
        <v>738</v>
      </c>
      <c r="F414" s="13" t="s">
        <v>76</v>
      </c>
      <c r="G414" s="14">
        <v>0</v>
      </c>
      <c r="H414" s="14">
        <v>0</v>
      </c>
      <c r="I414" s="12"/>
    </row>
    <row r="415" spans="1:9" x14ac:dyDescent="0.35">
      <c r="A415" s="12" t="s">
        <v>1038</v>
      </c>
      <c r="B415" s="13" t="s">
        <v>67</v>
      </c>
      <c r="C415" s="12" t="s">
        <v>1039</v>
      </c>
      <c r="D415" s="12" t="s">
        <v>1031</v>
      </c>
      <c r="E415" s="13" t="s">
        <v>738</v>
      </c>
      <c r="F415" s="13" t="s">
        <v>76</v>
      </c>
      <c r="G415" s="14">
        <v>0</v>
      </c>
      <c r="H415" s="14">
        <v>0</v>
      </c>
      <c r="I415" s="12"/>
    </row>
    <row r="416" spans="1:9" x14ac:dyDescent="0.35">
      <c r="A416" s="9" t="s">
        <v>1040</v>
      </c>
      <c r="B416" s="10" t="s">
        <v>63</v>
      </c>
      <c r="C416" s="9" t="s">
        <v>1041</v>
      </c>
      <c r="D416" s="9" t="s">
        <v>1042</v>
      </c>
      <c r="E416" s="10"/>
      <c r="F416" s="10"/>
      <c r="G416" s="11">
        <f>SUMIFS($G$2:$G$455,$A$2:$A$455,"400.010.*",$B$2:$B$455,"Sottoconto")</f>
        <v>0</v>
      </c>
      <c r="H416" s="11">
        <f>SUMIFS($H$2:$H$455,$A$2:$A$455,"400.010.*",$B$2:$B$455,"Sottoconto")</f>
        <v>5800</v>
      </c>
      <c r="I416" s="9"/>
    </row>
    <row r="417" spans="1:9" x14ac:dyDescent="0.35">
      <c r="A417" s="12" t="s">
        <v>1043</v>
      </c>
      <c r="B417" s="13" t="s">
        <v>67</v>
      </c>
      <c r="C417" s="12" t="s">
        <v>1044</v>
      </c>
      <c r="D417" s="12" t="s">
        <v>1045</v>
      </c>
      <c r="E417" s="13" t="s">
        <v>738</v>
      </c>
      <c r="F417" s="13" t="s">
        <v>76</v>
      </c>
      <c r="G417" s="14">
        <v>0</v>
      </c>
      <c r="H417" s="14">
        <v>0</v>
      </c>
      <c r="I417" s="12"/>
    </row>
    <row r="418" spans="1:9" x14ac:dyDescent="0.35">
      <c r="A418" s="12" t="s">
        <v>1046</v>
      </c>
      <c r="B418" s="13" t="s">
        <v>67</v>
      </c>
      <c r="C418" s="12" t="s">
        <v>1047</v>
      </c>
      <c r="D418" s="12" t="s">
        <v>1048</v>
      </c>
      <c r="E418" s="13" t="s">
        <v>738</v>
      </c>
      <c r="F418" s="13" t="s">
        <v>76</v>
      </c>
      <c r="G418" s="14">
        <v>0</v>
      </c>
      <c r="H418" s="14">
        <v>0</v>
      </c>
      <c r="I418" s="12"/>
    </row>
    <row r="419" spans="1:9" x14ac:dyDescent="0.35">
      <c r="A419" s="12" t="s">
        <v>1049</v>
      </c>
      <c r="B419" s="13" t="s">
        <v>67</v>
      </c>
      <c r="C419" s="12" t="s">
        <v>1050</v>
      </c>
      <c r="D419" s="12" t="s">
        <v>1051</v>
      </c>
      <c r="E419" s="13" t="s">
        <v>738</v>
      </c>
      <c r="F419" s="13" t="s">
        <v>76</v>
      </c>
      <c r="G419" s="14">
        <v>0</v>
      </c>
      <c r="H419" s="14">
        <v>0</v>
      </c>
      <c r="I419" s="12"/>
    </row>
    <row r="420" spans="1:9" x14ac:dyDescent="0.35">
      <c r="A420" s="12" t="s">
        <v>1052</v>
      </c>
      <c r="B420" s="13" t="s">
        <v>67</v>
      </c>
      <c r="C420" s="12" t="s">
        <v>1053</v>
      </c>
      <c r="D420" s="12" t="s">
        <v>1054</v>
      </c>
      <c r="E420" s="13" t="s">
        <v>738</v>
      </c>
      <c r="F420" s="13" t="s">
        <v>76</v>
      </c>
      <c r="G420" s="14">
        <v>0</v>
      </c>
      <c r="H420" s="14">
        <v>1500</v>
      </c>
      <c r="I420" s="12"/>
    </row>
    <row r="421" spans="1:9" x14ac:dyDescent="0.35">
      <c r="A421" s="12" t="s">
        <v>1055</v>
      </c>
      <c r="B421" s="13" t="s">
        <v>67</v>
      </c>
      <c r="C421" s="12" t="s">
        <v>1056</v>
      </c>
      <c r="D421" s="12" t="s">
        <v>1054</v>
      </c>
      <c r="E421" s="13" t="s">
        <v>738</v>
      </c>
      <c r="F421" s="13" t="s">
        <v>76</v>
      </c>
      <c r="G421" s="14">
        <v>0</v>
      </c>
      <c r="H421" s="14">
        <v>800</v>
      </c>
      <c r="I421" s="12"/>
    </row>
    <row r="422" spans="1:9" x14ac:dyDescent="0.35">
      <c r="A422" s="12" t="s">
        <v>1057</v>
      </c>
      <c r="B422" s="13" t="s">
        <v>67</v>
      </c>
      <c r="C422" s="12" t="s">
        <v>1058</v>
      </c>
      <c r="D422" s="12" t="s">
        <v>1054</v>
      </c>
      <c r="E422" s="13" t="s">
        <v>738</v>
      </c>
      <c r="F422" s="13" t="s">
        <v>76</v>
      </c>
      <c r="G422" s="14">
        <v>0</v>
      </c>
      <c r="H422" s="14">
        <v>0</v>
      </c>
      <c r="I422" s="12"/>
    </row>
    <row r="423" spans="1:9" x14ac:dyDescent="0.35">
      <c r="A423" s="12" t="s">
        <v>1059</v>
      </c>
      <c r="B423" s="13" t="s">
        <v>67</v>
      </c>
      <c r="C423" s="12" t="s">
        <v>1060</v>
      </c>
      <c r="D423" s="12" t="s">
        <v>1061</v>
      </c>
      <c r="E423" s="13" t="s">
        <v>738</v>
      </c>
      <c r="F423" s="13" t="s">
        <v>76</v>
      </c>
      <c r="G423" s="14">
        <v>0</v>
      </c>
      <c r="H423" s="14">
        <v>3500</v>
      </c>
      <c r="I423" s="12"/>
    </row>
    <row r="424" spans="1:9" x14ac:dyDescent="0.35">
      <c r="A424" s="6" t="s">
        <v>1062</v>
      </c>
      <c r="B424" s="7" t="s">
        <v>58</v>
      </c>
      <c r="C424" s="6" t="s">
        <v>1063</v>
      </c>
      <c r="D424" s="6" t="s">
        <v>1064</v>
      </c>
      <c r="E424" s="7" t="s">
        <v>804</v>
      </c>
      <c r="F424" s="7"/>
      <c r="G424" s="8">
        <f>SUMIFS($G$2:$G$455,$A$2:$A$455,"410.*",$B$2:$B$455,"Sottoconto")</f>
        <v>56000</v>
      </c>
      <c r="H424" s="8">
        <f>SUMIFS($H$2:$H$455,$A$2:$A$455,"410.*",$B$2:$B$455,"Sottoconto")</f>
        <v>0</v>
      </c>
      <c r="I424" s="6"/>
    </row>
    <row r="425" spans="1:9" x14ac:dyDescent="0.35">
      <c r="A425" s="9" t="s">
        <v>1065</v>
      </c>
      <c r="B425" s="10" t="s">
        <v>63</v>
      </c>
      <c r="C425" s="9" t="s">
        <v>1066</v>
      </c>
      <c r="D425" s="9" t="s">
        <v>1064</v>
      </c>
      <c r="E425" s="10"/>
      <c r="F425" s="10"/>
      <c r="G425" s="11">
        <f>SUMIFS($G$2:$G$455,$A$2:$A$455,"410.005.*",$B$2:$B$455,"Sottoconto")</f>
        <v>56000</v>
      </c>
      <c r="H425" s="11">
        <f>SUMIFS($H$2:$H$455,$A$2:$A$455,"410.005.*",$B$2:$B$455,"Sottoconto")</f>
        <v>0</v>
      </c>
      <c r="I425" s="9"/>
    </row>
    <row r="426" spans="1:9" x14ac:dyDescent="0.35">
      <c r="A426" s="12" t="s">
        <v>1067</v>
      </c>
      <c r="B426" s="13" t="s">
        <v>67</v>
      </c>
      <c r="C426" s="12" t="s">
        <v>1068</v>
      </c>
      <c r="D426" s="12" t="s">
        <v>1064</v>
      </c>
      <c r="E426" s="13" t="s">
        <v>804</v>
      </c>
      <c r="F426" s="13" t="s">
        <v>69</v>
      </c>
      <c r="G426" s="14">
        <v>12000</v>
      </c>
      <c r="H426" s="14">
        <v>0</v>
      </c>
      <c r="I426" s="12"/>
    </row>
    <row r="427" spans="1:9" x14ac:dyDescent="0.35">
      <c r="A427" s="12" t="s">
        <v>1069</v>
      </c>
      <c r="B427" s="13" t="s">
        <v>67</v>
      </c>
      <c r="C427" s="12" t="s">
        <v>1070</v>
      </c>
      <c r="D427" s="12" t="s">
        <v>1064</v>
      </c>
      <c r="E427" s="13" t="s">
        <v>804</v>
      </c>
      <c r="F427" s="13" t="s">
        <v>69</v>
      </c>
      <c r="G427" s="14">
        <v>35000</v>
      </c>
      <c r="H427" s="14">
        <v>0</v>
      </c>
      <c r="I427" s="12"/>
    </row>
    <row r="428" spans="1:9" x14ac:dyDescent="0.35">
      <c r="A428" s="12" t="s">
        <v>1071</v>
      </c>
      <c r="B428" s="13" t="s">
        <v>67</v>
      </c>
      <c r="C428" s="12" t="s">
        <v>1072</v>
      </c>
      <c r="D428" s="12" t="s">
        <v>1064</v>
      </c>
      <c r="E428" s="13" t="s">
        <v>804</v>
      </c>
      <c r="F428" s="13" t="s">
        <v>69</v>
      </c>
      <c r="G428" s="14">
        <v>2000</v>
      </c>
      <c r="H428" s="14">
        <v>0</v>
      </c>
      <c r="I428" s="12"/>
    </row>
    <row r="429" spans="1:9" x14ac:dyDescent="0.35">
      <c r="A429" s="12" t="s">
        <v>1073</v>
      </c>
      <c r="B429" s="13" t="s">
        <v>67</v>
      </c>
      <c r="C429" s="12" t="s">
        <v>1074</v>
      </c>
      <c r="D429" s="12" t="s">
        <v>1064</v>
      </c>
      <c r="E429" s="13" t="s">
        <v>804</v>
      </c>
      <c r="F429" s="13" t="s">
        <v>69</v>
      </c>
      <c r="G429" s="14">
        <v>0</v>
      </c>
      <c r="H429" s="14">
        <v>0</v>
      </c>
      <c r="I429" s="12"/>
    </row>
    <row r="430" spans="1:9" x14ac:dyDescent="0.35">
      <c r="A430" s="12" t="s">
        <v>1075</v>
      </c>
      <c r="B430" s="13" t="s">
        <v>67</v>
      </c>
      <c r="C430" s="12" t="s">
        <v>1076</v>
      </c>
      <c r="D430" s="12" t="s">
        <v>1064</v>
      </c>
      <c r="E430" s="13" t="s">
        <v>804</v>
      </c>
      <c r="F430" s="13" t="s">
        <v>69</v>
      </c>
      <c r="G430" s="14">
        <v>0</v>
      </c>
      <c r="H430" s="14">
        <v>0</v>
      </c>
      <c r="I430" s="12"/>
    </row>
    <row r="431" spans="1:9" x14ac:dyDescent="0.35">
      <c r="A431" s="12" t="s">
        <v>1077</v>
      </c>
      <c r="B431" s="13" t="s">
        <v>67</v>
      </c>
      <c r="C431" s="12" t="s">
        <v>1078</v>
      </c>
      <c r="D431" s="12" t="s">
        <v>1064</v>
      </c>
      <c r="E431" s="13" t="s">
        <v>804</v>
      </c>
      <c r="F431" s="13" t="s">
        <v>69</v>
      </c>
      <c r="G431" s="14">
        <v>4500</v>
      </c>
      <c r="H431" s="14">
        <v>0</v>
      </c>
      <c r="I431" s="15" t="s">
        <v>1079</v>
      </c>
    </row>
    <row r="432" spans="1:9" x14ac:dyDescent="0.35">
      <c r="A432" s="12" t="s">
        <v>1080</v>
      </c>
      <c r="B432" s="13" t="s">
        <v>67</v>
      </c>
      <c r="C432" s="12" t="s">
        <v>1081</v>
      </c>
      <c r="D432" s="12" t="s">
        <v>1064</v>
      </c>
      <c r="E432" s="13" t="s">
        <v>804</v>
      </c>
      <c r="F432" s="13" t="s">
        <v>69</v>
      </c>
      <c r="G432" s="14">
        <v>0</v>
      </c>
      <c r="H432" s="14">
        <v>0</v>
      </c>
      <c r="I432" s="12"/>
    </row>
    <row r="433" spans="1:9" x14ac:dyDescent="0.35">
      <c r="A433" s="12" t="s">
        <v>1082</v>
      </c>
      <c r="B433" s="13" t="s">
        <v>67</v>
      </c>
      <c r="C433" s="12" t="s">
        <v>1083</v>
      </c>
      <c r="D433" s="12" t="s">
        <v>1061</v>
      </c>
      <c r="E433" s="13" t="s">
        <v>804</v>
      </c>
      <c r="F433" s="13" t="s">
        <v>69</v>
      </c>
      <c r="G433" s="14">
        <v>2500</v>
      </c>
      <c r="H433" s="14">
        <v>0</v>
      </c>
      <c r="I433" s="12"/>
    </row>
    <row r="434" spans="1:9" x14ac:dyDescent="0.35">
      <c r="A434" s="6" t="s">
        <v>1084</v>
      </c>
      <c r="B434" s="7" t="s">
        <v>58</v>
      </c>
      <c r="C434" s="6" t="s">
        <v>1085</v>
      </c>
      <c r="D434" s="6" t="s">
        <v>69</v>
      </c>
      <c r="E434" s="7" t="s">
        <v>738</v>
      </c>
      <c r="F434" s="7"/>
      <c r="G434" s="8">
        <f>SUMIFS($G$2:$G$455,$A$2:$A$455,"420.*",$B$2:$B$455,"Sottoconto")</f>
        <v>0</v>
      </c>
      <c r="H434" s="8">
        <f>SUMIFS($H$2:$H$455,$A$2:$A$455,"420.*",$B$2:$B$455,"Sottoconto")</f>
        <v>0</v>
      </c>
      <c r="I434" s="6"/>
    </row>
    <row r="435" spans="1:9" x14ac:dyDescent="0.35">
      <c r="A435" s="9" t="s">
        <v>1086</v>
      </c>
      <c r="B435" s="10" t="s">
        <v>63</v>
      </c>
      <c r="C435" s="9" t="s">
        <v>1087</v>
      </c>
      <c r="D435" s="9" t="s">
        <v>1088</v>
      </c>
      <c r="E435" s="10"/>
      <c r="F435" s="10"/>
      <c r="G435" s="11">
        <f>SUMIFS($G$2:$G$455,$A$2:$A$455,"420.005.*",$B$2:$B$455,"Sottoconto")</f>
        <v>0</v>
      </c>
      <c r="H435" s="11">
        <f>SUMIFS($H$2:$H$455,$A$2:$A$455,"420.005.*",$B$2:$B$455,"Sottoconto")</f>
        <v>0</v>
      </c>
      <c r="I435" s="9"/>
    </row>
    <row r="436" spans="1:9" x14ac:dyDescent="0.35">
      <c r="A436" s="12" t="s">
        <v>1089</v>
      </c>
      <c r="B436" s="13" t="s">
        <v>67</v>
      </c>
      <c r="C436" s="12" t="s">
        <v>1090</v>
      </c>
      <c r="D436" s="12" t="s">
        <v>1091</v>
      </c>
      <c r="E436" s="13" t="s">
        <v>738</v>
      </c>
      <c r="F436" s="13" t="s">
        <v>76</v>
      </c>
      <c r="G436" s="14">
        <v>0</v>
      </c>
      <c r="H436" s="14">
        <v>0</v>
      </c>
      <c r="I436" s="12"/>
    </row>
    <row r="437" spans="1:9" x14ac:dyDescent="0.35">
      <c r="A437" s="12" t="s">
        <v>1092</v>
      </c>
      <c r="B437" s="13" t="s">
        <v>67</v>
      </c>
      <c r="C437" s="12" t="s">
        <v>1093</v>
      </c>
      <c r="D437" s="12" t="s">
        <v>1094</v>
      </c>
      <c r="E437" s="13" t="s">
        <v>738</v>
      </c>
      <c r="F437" s="13" t="s">
        <v>76</v>
      </c>
      <c r="G437" s="14">
        <v>0</v>
      </c>
      <c r="H437" s="14">
        <v>0</v>
      </c>
      <c r="I437" s="12"/>
    </row>
    <row r="438" spans="1:9" x14ac:dyDescent="0.35">
      <c r="A438" s="12" t="s">
        <v>1095</v>
      </c>
      <c r="B438" s="13" t="s">
        <v>67</v>
      </c>
      <c r="C438" s="12" t="s">
        <v>1096</v>
      </c>
      <c r="D438" s="12" t="s">
        <v>1097</v>
      </c>
      <c r="E438" s="13" t="s">
        <v>738</v>
      </c>
      <c r="F438" s="13" t="s">
        <v>76</v>
      </c>
      <c r="G438" s="14">
        <v>0</v>
      </c>
      <c r="H438" s="14">
        <v>0</v>
      </c>
      <c r="I438" s="12"/>
    </row>
    <row r="439" spans="1:9" x14ac:dyDescent="0.35">
      <c r="A439" s="12" t="s">
        <v>1098</v>
      </c>
      <c r="B439" s="13" t="s">
        <v>67</v>
      </c>
      <c r="C439" s="12" t="s">
        <v>1099</v>
      </c>
      <c r="D439" s="12" t="s">
        <v>1100</v>
      </c>
      <c r="E439" s="13" t="s">
        <v>738</v>
      </c>
      <c r="F439" s="13" t="s">
        <v>76</v>
      </c>
      <c r="G439" s="14">
        <v>0</v>
      </c>
      <c r="H439" s="14">
        <v>0</v>
      </c>
      <c r="I439" s="12"/>
    </row>
    <row r="440" spans="1:9" x14ac:dyDescent="0.35">
      <c r="A440" s="9" t="s">
        <v>1101</v>
      </c>
      <c r="B440" s="10" t="s">
        <v>63</v>
      </c>
      <c r="C440" s="9" t="s">
        <v>1102</v>
      </c>
      <c r="D440" s="9" t="s">
        <v>1103</v>
      </c>
      <c r="E440" s="10"/>
      <c r="F440" s="10"/>
      <c r="G440" s="11">
        <f>SUMIFS($G$2:$G$455,$A$2:$A$455,"420.010.*",$B$2:$B$455,"Sottoconto")</f>
        <v>0</v>
      </c>
      <c r="H440" s="11">
        <f>SUMIFS($H$2:$H$455,$A$2:$A$455,"420.010.*",$B$2:$B$455,"Sottoconto")</f>
        <v>0</v>
      </c>
      <c r="I440" s="9"/>
    </row>
    <row r="441" spans="1:9" x14ac:dyDescent="0.35">
      <c r="A441" s="12" t="s">
        <v>1104</v>
      </c>
      <c r="B441" s="13" t="s">
        <v>67</v>
      </c>
      <c r="C441" s="12" t="s">
        <v>1105</v>
      </c>
      <c r="D441" s="12" t="s">
        <v>1106</v>
      </c>
      <c r="E441" s="13" t="s">
        <v>804</v>
      </c>
      <c r="F441" s="13" t="s">
        <v>69</v>
      </c>
      <c r="G441" s="14">
        <v>0</v>
      </c>
      <c r="H441" s="14">
        <v>0</v>
      </c>
      <c r="I441" s="12"/>
    </row>
    <row r="442" spans="1:9" x14ac:dyDescent="0.35">
      <c r="A442" s="12" t="s">
        <v>1107</v>
      </c>
      <c r="B442" s="13" t="s">
        <v>67</v>
      </c>
      <c r="C442" s="12" t="s">
        <v>1108</v>
      </c>
      <c r="D442" s="12" t="s">
        <v>1109</v>
      </c>
      <c r="E442" s="13" t="s">
        <v>804</v>
      </c>
      <c r="F442" s="13" t="s">
        <v>69</v>
      </c>
      <c r="G442" s="14">
        <v>0</v>
      </c>
      <c r="H442" s="14">
        <v>0</v>
      </c>
      <c r="I442" s="12"/>
    </row>
    <row r="443" spans="1:9" x14ac:dyDescent="0.35">
      <c r="A443" s="12" t="s">
        <v>1110</v>
      </c>
      <c r="B443" s="13" t="s">
        <v>67</v>
      </c>
      <c r="C443" s="12" t="s">
        <v>1111</v>
      </c>
      <c r="D443" s="12" t="s">
        <v>1112</v>
      </c>
      <c r="E443" s="13" t="s">
        <v>804</v>
      </c>
      <c r="F443" s="13" t="s">
        <v>69</v>
      </c>
      <c r="G443" s="14">
        <v>0</v>
      </c>
      <c r="H443" s="14">
        <v>0</v>
      </c>
      <c r="I443" s="12"/>
    </row>
    <row r="444" spans="1:9" x14ac:dyDescent="0.35">
      <c r="A444" s="12" t="s">
        <v>1113</v>
      </c>
      <c r="B444" s="13" t="s">
        <v>67</v>
      </c>
      <c r="C444" s="12" t="s">
        <v>1114</v>
      </c>
      <c r="D444" s="12" t="s">
        <v>1115</v>
      </c>
      <c r="E444" s="13" t="s">
        <v>804</v>
      </c>
      <c r="F444" s="13" t="s">
        <v>69</v>
      </c>
      <c r="G444" s="14">
        <v>0</v>
      </c>
      <c r="H444" s="14">
        <v>0</v>
      </c>
      <c r="I444" s="12"/>
    </row>
    <row r="445" spans="1:9" x14ac:dyDescent="0.35">
      <c r="A445" s="6" t="s">
        <v>1116</v>
      </c>
      <c r="B445" s="7" t="s">
        <v>58</v>
      </c>
      <c r="C445" s="6" t="s">
        <v>1117</v>
      </c>
      <c r="D445" s="6" t="s">
        <v>1118</v>
      </c>
      <c r="E445" s="7" t="s">
        <v>804</v>
      </c>
      <c r="F445" s="7"/>
      <c r="G445" s="8">
        <f>SUMIFS($G$2:$G$455,$A$2:$A$455,"480.*",$B$2:$B$455,"Sottoconto")</f>
        <v>170500</v>
      </c>
      <c r="H445" s="8">
        <f>SUMIFS($H$2:$H$455,$A$2:$A$455,"480.*",$B$2:$B$455,"Sottoconto")</f>
        <v>3500</v>
      </c>
      <c r="I445" s="6"/>
    </row>
    <row r="446" spans="1:9" x14ac:dyDescent="0.35">
      <c r="A446" s="9" t="s">
        <v>1119</v>
      </c>
      <c r="B446" s="10" t="s">
        <v>63</v>
      </c>
      <c r="C446" s="9" t="s">
        <v>1120</v>
      </c>
      <c r="D446" s="9" t="s">
        <v>1118</v>
      </c>
      <c r="E446" s="10"/>
      <c r="F446" s="10"/>
      <c r="G446" s="11">
        <f>SUMIFS($G$2:$G$455,$A$2:$A$455,"480.005.*",$B$2:$B$455,"Sottoconto")</f>
        <v>170500</v>
      </c>
      <c r="H446" s="11">
        <f>SUMIFS($H$2:$H$455,$A$2:$A$455,"480.005.*",$B$2:$B$455,"Sottoconto")</f>
        <v>3500</v>
      </c>
      <c r="I446" s="9"/>
    </row>
    <row r="447" spans="1:9" x14ac:dyDescent="0.35">
      <c r="A447" s="12" t="s">
        <v>1121</v>
      </c>
      <c r="B447" s="13" t="s">
        <v>67</v>
      </c>
      <c r="C447" s="12" t="s">
        <v>1122</v>
      </c>
      <c r="D447" s="12" t="s">
        <v>1123</v>
      </c>
      <c r="E447" s="13" t="s">
        <v>804</v>
      </c>
      <c r="F447" s="13" t="s">
        <v>69</v>
      </c>
      <c r="G447" s="14">
        <v>132000</v>
      </c>
      <c r="H447" s="14">
        <v>0</v>
      </c>
      <c r="I447" s="15" t="s">
        <v>1124</v>
      </c>
    </row>
    <row r="448" spans="1:9" x14ac:dyDescent="0.35">
      <c r="A448" s="12" t="s">
        <v>1125</v>
      </c>
      <c r="B448" s="13" t="s">
        <v>67</v>
      </c>
      <c r="C448" s="12" t="s">
        <v>1126</v>
      </c>
      <c r="D448" s="12" t="s">
        <v>1123</v>
      </c>
      <c r="E448" s="13" t="s">
        <v>804</v>
      </c>
      <c r="F448" s="13" t="s">
        <v>69</v>
      </c>
      <c r="G448" s="14">
        <v>32000</v>
      </c>
      <c r="H448" s="14">
        <v>0</v>
      </c>
      <c r="I448" s="15" t="s">
        <v>1127</v>
      </c>
    </row>
    <row r="449" spans="1:9" x14ac:dyDescent="0.35">
      <c r="A449" s="12" t="s">
        <v>1128</v>
      </c>
      <c r="B449" s="13" t="s">
        <v>67</v>
      </c>
      <c r="C449" s="12" t="s">
        <v>1129</v>
      </c>
      <c r="D449" s="12" t="s">
        <v>1130</v>
      </c>
      <c r="E449" s="13" t="s">
        <v>804</v>
      </c>
      <c r="F449" s="13" t="s">
        <v>69</v>
      </c>
      <c r="G449" s="14">
        <v>5000</v>
      </c>
      <c r="H449" s="14">
        <v>0</v>
      </c>
      <c r="I449" s="12"/>
    </row>
    <row r="450" spans="1:9" x14ac:dyDescent="0.35">
      <c r="A450" s="12" t="s">
        <v>1131</v>
      </c>
      <c r="B450" s="13" t="s">
        <v>67</v>
      </c>
      <c r="C450" s="12" t="s">
        <v>1132</v>
      </c>
      <c r="D450" s="12" t="s">
        <v>1130</v>
      </c>
      <c r="E450" s="13" t="s">
        <v>804</v>
      </c>
      <c r="F450" s="13" t="s">
        <v>76</v>
      </c>
      <c r="G450" s="14">
        <v>0</v>
      </c>
      <c r="H450" s="14">
        <v>3500</v>
      </c>
      <c r="I450" s="15" t="s">
        <v>55</v>
      </c>
    </row>
    <row r="451" spans="1:9" x14ac:dyDescent="0.35">
      <c r="A451" s="12" t="s">
        <v>1133</v>
      </c>
      <c r="B451" s="13" t="s">
        <v>67</v>
      </c>
      <c r="C451" s="12" t="s">
        <v>1134</v>
      </c>
      <c r="D451" s="12" t="s">
        <v>1135</v>
      </c>
      <c r="E451" s="13" t="s">
        <v>804</v>
      </c>
      <c r="F451" s="13" t="s">
        <v>69</v>
      </c>
      <c r="G451" s="14">
        <v>1500</v>
      </c>
      <c r="H451" s="14">
        <v>0</v>
      </c>
      <c r="I451" s="12"/>
    </row>
    <row r="452" spans="1:9" x14ac:dyDescent="0.35">
      <c r="A452" s="12" t="s">
        <v>1136</v>
      </c>
      <c r="B452" s="13" t="s">
        <v>67</v>
      </c>
      <c r="C452" s="12" t="s">
        <v>1137</v>
      </c>
      <c r="D452" s="12" t="s">
        <v>1135</v>
      </c>
      <c r="E452" s="13" t="s">
        <v>804</v>
      </c>
      <c r="F452" s="13" t="s">
        <v>69</v>
      </c>
      <c r="G452" s="14">
        <v>0</v>
      </c>
      <c r="H452" s="14">
        <v>0</v>
      </c>
      <c r="I452" s="12"/>
    </row>
    <row r="453" spans="1:9" x14ac:dyDescent="0.35">
      <c r="A453" s="6" t="s">
        <v>1138</v>
      </c>
      <c r="B453" s="7" t="s">
        <v>58</v>
      </c>
      <c r="C453" s="6" t="s">
        <v>1139</v>
      </c>
      <c r="D453" s="6" t="s">
        <v>1140</v>
      </c>
      <c r="E453" s="7" t="s">
        <v>485</v>
      </c>
      <c r="F453" s="7"/>
      <c r="G453" s="8">
        <f>SUMIFS($G$2:$G$455,$A$2:$A$455,"500.*",$B$2:$B$455,"Sottoconto")</f>
        <v>0</v>
      </c>
      <c r="H453" s="8">
        <f>SUMIFS($H$2:$H$455,$A$2:$A$455,"500.*",$B$2:$B$455,"Sottoconto")</f>
        <v>0</v>
      </c>
      <c r="I453" s="6"/>
    </row>
    <row r="454" spans="1:9" x14ac:dyDescent="0.35">
      <c r="A454" s="9" t="s">
        <v>1141</v>
      </c>
      <c r="B454" s="10" t="s">
        <v>63</v>
      </c>
      <c r="C454" s="9" t="s">
        <v>1142</v>
      </c>
      <c r="D454" s="9" t="s">
        <v>1140</v>
      </c>
      <c r="E454" s="10"/>
      <c r="F454" s="10"/>
      <c r="G454" s="11">
        <f>SUMIFS($G$2:$G$455,$A$2:$A$455,"500.005.*",$B$2:$B$455,"Sottoconto")</f>
        <v>0</v>
      </c>
      <c r="H454" s="11">
        <f>SUMIFS($H$2:$H$455,$A$2:$A$455,"500.005.*",$B$2:$B$455,"Sottoconto")</f>
        <v>0</v>
      </c>
      <c r="I454" s="9"/>
    </row>
    <row r="455" spans="1:9" x14ac:dyDescent="0.35">
      <c r="A455" s="12" t="s">
        <v>1143</v>
      </c>
      <c r="B455" s="13" t="s">
        <v>67</v>
      </c>
      <c r="C455" s="12" t="s">
        <v>1144</v>
      </c>
      <c r="D455" s="12" t="s">
        <v>1140</v>
      </c>
      <c r="E455" s="13" t="s">
        <v>485</v>
      </c>
      <c r="F455" s="13" t="s">
        <v>76</v>
      </c>
      <c r="G455" s="14">
        <v>0</v>
      </c>
      <c r="H455" s="14">
        <v>0</v>
      </c>
      <c r="I455" s="15" t="s">
        <v>1145</v>
      </c>
    </row>
    <row r="457" spans="1:9" x14ac:dyDescent="0.35">
      <c r="A457" s="17"/>
      <c r="B457" s="17"/>
      <c r="C457" s="18" t="s">
        <v>1146</v>
      </c>
      <c r="D457" s="17"/>
      <c r="E457" s="17"/>
      <c r="F457" s="17"/>
      <c r="G457" s="19">
        <f>SUMIFS(G2:G455,B2:B455,"Sottoconto")</f>
        <v>7482900</v>
      </c>
      <c r="H457" s="19">
        <f>SUMIFS(H2:H455,B2:B455,"Sottoconto")</f>
        <v>7482900</v>
      </c>
      <c r="I457" s="17"/>
    </row>
    <row r="458" spans="1:9" x14ac:dyDescent="0.35">
      <c r="A458" s="20"/>
      <c r="B458" s="20"/>
      <c r="C458" s="21" t="s">
        <v>1147</v>
      </c>
      <c r="D458" s="20"/>
      <c r="E458" s="20"/>
      <c r="F458" s="20"/>
      <c r="G458" s="22">
        <f>G457-H457</f>
        <v>0</v>
      </c>
      <c r="H458" s="23" t="str">
        <f>IF(G458=0,"QUADRATO","SBILANCIO!")</f>
        <v>QUADRATO</v>
      </c>
      <c r="I458" s="20"/>
    </row>
  </sheetData>
  <autoFilter ref="A1:I45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zoomScaleNormal="100" workbookViewId="0">
      <pane ySplit="2" topLeftCell="A3" activePane="bottomLeft" state="frozen"/>
      <selection pane="bottomLeft" sqref="A1:E1"/>
    </sheetView>
  </sheetViews>
  <sheetFormatPr defaultColWidth="8.6328125" defaultRowHeight="14.5" x14ac:dyDescent="0.35"/>
  <cols>
    <col min="1" max="1" width="12" customWidth="1"/>
    <col min="2" max="2" width="50" customWidth="1"/>
    <col min="3" max="5" width="18" customWidth="1"/>
  </cols>
  <sheetData>
    <row r="1" spans="1:5" ht="30" customHeight="1" x14ac:dyDescent="0.35">
      <c r="A1" s="1" t="s">
        <v>1148</v>
      </c>
      <c r="B1" s="1"/>
      <c r="C1" s="1"/>
      <c r="D1" s="1"/>
      <c r="E1" s="1"/>
    </row>
    <row r="2" spans="1:5" ht="24.75" customHeight="1" x14ac:dyDescent="0.35">
      <c r="A2" s="5" t="s">
        <v>58</v>
      </c>
      <c r="B2" s="5" t="s">
        <v>50</v>
      </c>
      <c r="C2" s="5" t="s">
        <v>54</v>
      </c>
      <c r="D2" s="5" t="s">
        <v>55</v>
      </c>
      <c r="E2" s="5" t="s">
        <v>1149</v>
      </c>
    </row>
    <row r="3" spans="1:5" x14ac:dyDescent="0.35">
      <c r="A3" s="24" t="s">
        <v>57</v>
      </c>
      <c r="B3" s="25" t="s">
        <v>59</v>
      </c>
      <c r="C3" s="26">
        <f>'Piano dei Conti'!G2</f>
        <v>232000</v>
      </c>
      <c r="D3" s="26">
        <f>'Piano dei Conti'!H2</f>
        <v>125000</v>
      </c>
      <c r="E3" s="26">
        <f t="shared" ref="E3:E23" si="0">C3-D3</f>
        <v>107000</v>
      </c>
    </row>
    <row r="4" spans="1:5" x14ac:dyDescent="0.35">
      <c r="A4" s="24" t="s">
        <v>141</v>
      </c>
      <c r="B4" s="25" t="s">
        <v>142</v>
      </c>
      <c r="C4" s="26">
        <f>'Piano dei Conti'!G34</f>
        <v>1825000</v>
      </c>
      <c r="D4" s="26">
        <f>'Piano dei Conti'!H34</f>
        <v>736500</v>
      </c>
      <c r="E4" s="26">
        <f t="shared" si="0"/>
        <v>1088500</v>
      </c>
    </row>
    <row r="5" spans="1:5" x14ac:dyDescent="0.35">
      <c r="A5" s="24" t="s">
        <v>239</v>
      </c>
      <c r="B5" s="25" t="s">
        <v>240</v>
      </c>
      <c r="C5" s="26">
        <f>'Piano dei Conti'!G78</f>
        <v>25000</v>
      </c>
      <c r="D5" s="26">
        <f>'Piano dei Conti'!H78</f>
        <v>0</v>
      </c>
      <c r="E5" s="26">
        <f t="shared" si="0"/>
        <v>25000</v>
      </c>
    </row>
    <row r="6" spans="1:5" x14ac:dyDescent="0.35">
      <c r="A6" s="24" t="s">
        <v>290</v>
      </c>
      <c r="B6" s="25" t="s">
        <v>291</v>
      </c>
      <c r="C6" s="26">
        <f>'Piano dei Conti'!G95</f>
        <v>390000</v>
      </c>
      <c r="D6" s="26">
        <f>'Piano dei Conti'!H95</f>
        <v>0</v>
      </c>
      <c r="E6" s="26">
        <f t="shared" si="0"/>
        <v>390000</v>
      </c>
    </row>
    <row r="7" spans="1:5" x14ac:dyDescent="0.35">
      <c r="A7" s="24" t="s">
        <v>326</v>
      </c>
      <c r="B7" s="25" t="s">
        <v>327</v>
      </c>
      <c r="C7" s="26">
        <f>'Piano dei Conti'!G110</f>
        <v>1157000</v>
      </c>
      <c r="D7" s="26">
        <f>'Piano dei Conti'!H110</f>
        <v>60000</v>
      </c>
      <c r="E7" s="26">
        <f t="shared" si="0"/>
        <v>1097000</v>
      </c>
    </row>
    <row r="8" spans="1:5" x14ac:dyDescent="0.35">
      <c r="A8" s="24" t="s">
        <v>410</v>
      </c>
      <c r="B8" s="25" t="s">
        <v>411</v>
      </c>
      <c r="C8" s="26">
        <f>'Piano dei Conti'!G146</f>
        <v>0</v>
      </c>
      <c r="D8" s="26">
        <f>'Piano dei Conti'!H146</f>
        <v>0</v>
      </c>
      <c r="E8" s="26">
        <f t="shared" si="0"/>
        <v>0</v>
      </c>
    </row>
    <row r="9" spans="1:5" x14ac:dyDescent="0.35">
      <c r="A9" s="24" t="s">
        <v>440</v>
      </c>
      <c r="B9" s="25" t="s">
        <v>441</v>
      </c>
      <c r="C9" s="26">
        <f>'Piano dei Conti'!G158</f>
        <v>132300</v>
      </c>
      <c r="D9" s="26">
        <f>'Piano dei Conti'!H158</f>
        <v>0</v>
      </c>
      <c r="E9" s="26">
        <f t="shared" si="0"/>
        <v>132300</v>
      </c>
    </row>
    <row r="10" spans="1:5" x14ac:dyDescent="0.35">
      <c r="A10" s="24" t="s">
        <v>471</v>
      </c>
      <c r="B10" s="25" t="s">
        <v>472</v>
      </c>
      <c r="C10" s="26">
        <f>'Piano dei Conti'!G171</f>
        <v>8000</v>
      </c>
      <c r="D10" s="26">
        <f>'Piano dei Conti'!H171</f>
        <v>0</v>
      </c>
      <c r="E10" s="26">
        <f t="shared" si="0"/>
        <v>8000</v>
      </c>
    </row>
    <row r="11" spans="1:5" x14ac:dyDescent="0.35">
      <c r="A11" s="27" t="s">
        <v>483</v>
      </c>
      <c r="B11" s="28" t="s">
        <v>484</v>
      </c>
      <c r="C11" s="29">
        <f>'Piano dei Conti'!G177</f>
        <v>0</v>
      </c>
      <c r="D11" s="29">
        <f>'Piano dei Conti'!H177</f>
        <v>499300</v>
      </c>
      <c r="E11" s="29">
        <f t="shared" si="0"/>
        <v>-499300</v>
      </c>
    </row>
    <row r="12" spans="1:5" x14ac:dyDescent="0.35">
      <c r="A12" s="27" t="s">
        <v>550</v>
      </c>
      <c r="B12" s="28" t="s">
        <v>551</v>
      </c>
      <c r="C12" s="29">
        <f>'Piano dei Conti'!G204</f>
        <v>0</v>
      </c>
      <c r="D12" s="29">
        <f>'Piano dei Conti'!H204</f>
        <v>45000</v>
      </c>
      <c r="E12" s="29">
        <f t="shared" si="0"/>
        <v>-45000</v>
      </c>
    </row>
    <row r="13" spans="1:5" x14ac:dyDescent="0.35">
      <c r="A13" s="27" t="s">
        <v>582</v>
      </c>
      <c r="B13" s="28" t="s">
        <v>583</v>
      </c>
      <c r="C13" s="29">
        <f>'Piano dei Conti'!G217</f>
        <v>0</v>
      </c>
      <c r="D13" s="29">
        <f>'Piano dei Conti'!H217</f>
        <v>145000</v>
      </c>
      <c r="E13" s="29">
        <f t="shared" si="0"/>
        <v>-145000</v>
      </c>
    </row>
    <row r="14" spans="1:5" x14ac:dyDescent="0.35">
      <c r="A14" s="27" t="s">
        <v>590</v>
      </c>
      <c r="B14" s="28" t="s">
        <v>591</v>
      </c>
      <c r="C14" s="29">
        <f>'Piano dei Conti'!G220</f>
        <v>0</v>
      </c>
      <c r="D14" s="29">
        <f>'Piano dei Conti'!H220</f>
        <v>1761800</v>
      </c>
      <c r="E14" s="29">
        <f t="shared" si="0"/>
        <v>-1761800</v>
      </c>
    </row>
    <row r="15" spans="1:5" x14ac:dyDescent="0.35">
      <c r="A15" s="27" t="s">
        <v>725</v>
      </c>
      <c r="B15" s="28" t="s">
        <v>726</v>
      </c>
      <c r="C15" s="29">
        <f>'Piano dei Conti'!G280</f>
        <v>0</v>
      </c>
      <c r="D15" s="29">
        <f>'Piano dei Conti'!H280</f>
        <v>8000</v>
      </c>
      <c r="E15" s="29">
        <f t="shared" si="0"/>
        <v>-8000</v>
      </c>
    </row>
    <row r="16" spans="1:5" x14ac:dyDescent="0.35">
      <c r="A16" s="30" t="s">
        <v>736</v>
      </c>
      <c r="B16" s="31" t="s">
        <v>737</v>
      </c>
      <c r="C16" s="32">
        <f>'Piano dei Conti'!G286</f>
        <v>25000</v>
      </c>
      <c r="D16" s="32">
        <f>'Piano dei Conti'!H286</f>
        <v>4053000</v>
      </c>
      <c r="E16" s="32">
        <f t="shared" si="0"/>
        <v>-4028000</v>
      </c>
    </row>
    <row r="17" spans="1:5" x14ac:dyDescent="0.35">
      <c r="A17" s="33" t="s">
        <v>802</v>
      </c>
      <c r="B17" s="34" t="s">
        <v>803</v>
      </c>
      <c r="C17" s="35">
        <f>'Piano dei Conti'!G314</f>
        <v>3462100</v>
      </c>
      <c r="D17" s="35">
        <f>'Piano dei Conti'!H314</f>
        <v>40000</v>
      </c>
      <c r="E17" s="35">
        <f t="shared" si="0"/>
        <v>3422100</v>
      </c>
    </row>
    <row r="18" spans="1:5" x14ac:dyDescent="0.35">
      <c r="A18" s="30" t="s">
        <v>1027</v>
      </c>
      <c r="B18" s="31" t="s">
        <v>1028</v>
      </c>
      <c r="C18" s="32">
        <f>'Piano dei Conti'!G410</f>
        <v>0</v>
      </c>
      <c r="D18" s="32">
        <f>'Piano dei Conti'!H410</f>
        <v>5800</v>
      </c>
      <c r="E18" s="32">
        <f t="shared" si="0"/>
        <v>-5800</v>
      </c>
    </row>
    <row r="19" spans="1:5" x14ac:dyDescent="0.35">
      <c r="A19" s="33" t="s">
        <v>1062</v>
      </c>
      <c r="B19" s="34" t="s">
        <v>1063</v>
      </c>
      <c r="C19" s="35">
        <f>'Piano dei Conti'!G424</f>
        <v>56000</v>
      </c>
      <c r="D19" s="35">
        <f>'Piano dei Conti'!H424</f>
        <v>0</v>
      </c>
      <c r="E19" s="35">
        <f t="shared" si="0"/>
        <v>56000</v>
      </c>
    </row>
    <row r="20" spans="1:5" x14ac:dyDescent="0.35">
      <c r="A20" s="27" t="s">
        <v>1084</v>
      </c>
      <c r="B20" s="28" t="s">
        <v>1085</v>
      </c>
      <c r="C20" s="29">
        <f>'Piano dei Conti'!G434</f>
        <v>0</v>
      </c>
      <c r="D20" s="29">
        <f>'Piano dei Conti'!H434</f>
        <v>0</v>
      </c>
      <c r="E20" s="29">
        <f t="shared" si="0"/>
        <v>0</v>
      </c>
    </row>
    <row r="21" spans="1:5" x14ac:dyDescent="0.35">
      <c r="A21" s="33" t="s">
        <v>1116</v>
      </c>
      <c r="B21" s="34" t="s">
        <v>1117</v>
      </c>
      <c r="C21" s="35">
        <f>'Piano dei Conti'!G445</f>
        <v>170500</v>
      </c>
      <c r="D21" s="35">
        <f>'Piano dei Conti'!H445</f>
        <v>3500</v>
      </c>
      <c r="E21" s="35">
        <f t="shared" si="0"/>
        <v>167000</v>
      </c>
    </row>
    <row r="22" spans="1:5" x14ac:dyDescent="0.35">
      <c r="A22" s="36" t="s">
        <v>1138</v>
      </c>
      <c r="B22" s="37" t="s">
        <v>1139</v>
      </c>
      <c r="C22" s="38">
        <f>'Piano dei Conti'!G453</f>
        <v>0</v>
      </c>
      <c r="D22" s="38">
        <f>'Piano dei Conti'!H453</f>
        <v>0</v>
      </c>
      <c r="E22" s="38">
        <f t="shared" si="0"/>
        <v>0</v>
      </c>
    </row>
    <row r="23" spans="1:5" x14ac:dyDescent="0.35">
      <c r="A23" s="39"/>
      <c r="B23" s="18" t="s">
        <v>1150</v>
      </c>
      <c r="C23" s="19">
        <f>SUM(C3:C22)</f>
        <v>7482900</v>
      </c>
      <c r="D23" s="19">
        <f>SUM(D3:D22)</f>
        <v>7482900</v>
      </c>
      <c r="E23" s="19">
        <f t="shared" si="0"/>
        <v>0</v>
      </c>
    </row>
    <row r="24" spans="1:5" x14ac:dyDescent="0.35">
      <c r="A24" s="23"/>
      <c r="B24" s="21" t="s">
        <v>1151</v>
      </c>
      <c r="C24" s="40">
        <f>C23-D23</f>
        <v>0</v>
      </c>
      <c r="D24" s="23" t="str">
        <f>IF(ROUND(C23-D23,2)=0,"QUADRATO","SBILANCIO")</f>
        <v>QUADRATO</v>
      </c>
      <c r="E24" s="2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3"/>
  <sheetViews>
    <sheetView showGridLines="0" zoomScaleNormal="100" workbookViewId="0">
      <pane ySplit="2" topLeftCell="A3" activePane="bottomLeft" state="frozen"/>
      <selection pane="bottomLeft" activeCell="B19" sqref="B19"/>
    </sheetView>
  </sheetViews>
  <sheetFormatPr defaultColWidth="8.6328125" defaultRowHeight="14.5" x14ac:dyDescent="0.35"/>
  <cols>
    <col min="1" max="1" width="70" customWidth="1"/>
    <col min="2" max="2" width="18" customWidth="1"/>
    <col min="3" max="3" width="50" customWidth="1"/>
  </cols>
  <sheetData>
    <row r="1" spans="1:3" ht="30" customHeight="1" x14ac:dyDescent="0.35">
      <c r="A1" s="1" t="s">
        <v>1152</v>
      </c>
      <c r="B1" s="1"/>
      <c r="C1" s="1"/>
    </row>
    <row r="3" spans="1:3" ht="15.5" x14ac:dyDescent="0.35">
      <c r="A3" s="41" t="s">
        <v>1153</v>
      </c>
      <c r="B3" s="42"/>
    </row>
    <row r="4" spans="1:3" x14ac:dyDescent="0.35">
      <c r="A4" s="43" t="s">
        <v>1154</v>
      </c>
      <c r="B4" s="44">
        <v>0</v>
      </c>
    </row>
    <row r="5" spans="1:3" x14ac:dyDescent="0.35">
      <c r="A5" s="43" t="s">
        <v>1155</v>
      </c>
      <c r="B5" s="45"/>
    </row>
    <row r="6" spans="1:3" x14ac:dyDescent="0.35">
      <c r="A6" s="46" t="s">
        <v>1156</v>
      </c>
      <c r="B6" s="47">
        <f>SUMIFS('Piano dei Conti'!G2:G455,'Piano dei Conti'!A2:A455,"010.*",'Piano dei Conti'!B2:B455,"Sottoconto")-SUMIFS('Piano dei Conti'!H2:H455,'Piano dei Conti'!A2:A455,"010.*",'Piano dei Conti'!B2:B455,"Sottoconto")</f>
        <v>107000</v>
      </c>
    </row>
    <row r="7" spans="1:3" x14ac:dyDescent="0.35">
      <c r="A7" s="48" t="s">
        <v>1157</v>
      </c>
      <c r="B7" s="49">
        <f>SUMIFS('Piano dei Conti'!G2:G455,'Piano dei Conti'!A2:A455,"010.005.*",'Piano dei Conti'!B2:B455,"Sottoconto")-SUMIFS('Piano dei Conti'!H2:H455,'Piano dei Conti'!A2:A455,"010.005.*",'Piano dei Conti'!B2:B455,"Sottoconto")</f>
        <v>0</v>
      </c>
    </row>
    <row r="8" spans="1:3" x14ac:dyDescent="0.35">
      <c r="A8" s="48" t="s">
        <v>1158</v>
      </c>
      <c r="B8" s="49">
        <f>SUMIFS('Piano dei Conti'!G2:G455,'Piano dei Conti'!A2:A455,"010.015.*",'Piano dei Conti'!B2:B455,"Sottoconto")-SUMIFS('Piano dei Conti'!H2:H455,'Piano dei Conti'!A2:A455,"010.015.*",'Piano dei Conti'!B2:B455,"Sottoconto")</f>
        <v>18000</v>
      </c>
    </row>
    <row r="9" spans="1:3" x14ac:dyDescent="0.35">
      <c r="A9" s="48" t="s">
        <v>1159</v>
      </c>
      <c r="B9" s="49">
        <f>SUMIFS('Piano dei Conti'!G2:G455,'Piano dei Conti'!A2:A455,"010.020.*",'Piano dei Conti'!B2:B455,"Sottoconto")-SUMIFS('Piano dei Conti'!H2:H455,'Piano dei Conti'!A2:A455,"010.020.*",'Piano dei Conti'!B2:B455,"Sottoconto")</f>
        <v>25000</v>
      </c>
    </row>
    <row r="10" spans="1:3" x14ac:dyDescent="0.35">
      <c r="A10" s="48" t="s">
        <v>1160</v>
      </c>
      <c r="B10" s="49">
        <f>SUMIFS('Piano dei Conti'!G2:G455,'Piano dei Conti'!A2:A455,"010.025.*",'Piano dei Conti'!B2:B455,"Sottoconto")-SUMIFS('Piano dei Conti'!H2:H455,'Piano dei Conti'!A2:A455,"010.025.*",'Piano dei Conti'!B2:B455,"Sottoconto")</f>
        <v>40000</v>
      </c>
    </row>
    <row r="11" spans="1:3" x14ac:dyDescent="0.35">
      <c r="A11" s="48" t="s">
        <v>1161</v>
      </c>
      <c r="B11" s="49">
        <f>SUMIFS('Piano dei Conti'!G2:G455,'Piano dei Conti'!A2:A455,"010.035.*",'Piano dei Conti'!B2:B455,"Sottoconto")-SUMIFS('Piano dei Conti'!H2:H455,'Piano dei Conti'!A2:A455,"010.035.*",'Piano dei Conti'!B2:B455,"Sottoconto")</f>
        <v>24000</v>
      </c>
    </row>
    <row r="12" spans="1:3" x14ac:dyDescent="0.35">
      <c r="A12" s="46" t="s">
        <v>1162</v>
      </c>
      <c r="B12" s="47">
        <f>SUMIFS('Piano dei Conti'!G2:G455,'Piano dei Conti'!A2:A455,"020.*",'Piano dei Conti'!B2:B455,"Sottoconto")-SUMIFS('Piano dei Conti'!H2:H455,'Piano dei Conti'!A2:A455,"020.*",'Piano dei Conti'!B2:B455,"Sottoconto")</f>
        <v>1088500</v>
      </c>
    </row>
    <row r="13" spans="1:3" x14ac:dyDescent="0.35">
      <c r="A13" s="48" t="s">
        <v>1163</v>
      </c>
      <c r="B13" s="49">
        <f>SUMIFS('Piano dei Conti'!G2:G455,'Piano dei Conti'!A2:A455,"020.005.*",'Piano dei Conti'!B2:B455,"Sottoconto")-SUMIFS('Piano dei Conti'!H2:H455,'Piano dei Conti'!A2:A455,"020.005.*",'Piano dei Conti'!B2:B455,"Sottoconto")</f>
        <v>560000</v>
      </c>
    </row>
    <row r="14" spans="1:3" x14ac:dyDescent="0.35">
      <c r="A14" s="48" t="s">
        <v>1164</v>
      </c>
      <c r="B14" s="49">
        <f>SUMIFS('Piano dei Conti'!G2:G455,'Piano dei Conti'!A2:A455,"020.010.*",'Piano dei Conti'!B2:B455,"Sottoconto")-SUMIFS('Piano dei Conti'!H2:H455,'Piano dei Conti'!A2:A455,"020.010.*",'Piano dei Conti'!B2:B455,"Sottoconto")</f>
        <v>415000</v>
      </c>
    </row>
    <row r="15" spans="1:3" x14ac:dyDescent="0.35">
      <c r="A15" s="48" t="s">
        <v>1165</v>
      </c>
      <c r="B15" s="49">
        <f>SUMIFS('Piano dei Conti'!G2:G455,'Piano dei Conti'!A2:A455,"020.015.*",'Piano dei Conti'!B2:B455,"Sottoconto")-SUMIFS('Piano dei Conti'!H2:H455,'Piano dei Conti'!A2:A455,"020.015.*",'Piano dei Conti'!B2:B455,"Sottoconto")</f>
        <v>24000</v>
      </c>
    </row>
    <row r="16" spans="1:3" x14ac:dyDescent="0.35">
      <c r="A16" s="48" t="s">
        <v>1166</v>
      </c>
      <c r="B16" s="49">
        <f>SUMIFS('Piano dei Conti'!G2:G455,'Piano dei Conti'!A2:A455,"020.020.*",'Piano dei Conti'!B2:B455,"Sottoconto")-SUMIFS('Piano dei Conti'!H2:H455,'Piano dei Conti'!A2:A455,"020.020.*",'Piano dei Conti'!B2:B455,"Sottoconto")</f>
        <v>89500</v>
      </c>
    </row>
    <row r="17" spans="1:2" x14ac:dyDescent="0.35">
      <c r="A17" s="46" t="s">
        <v>1167</v>
      </c>
      <c r="B17" s="47">
        <f>SUMIFS('Piano dei Conti'!G2:G455,'Piano dei Conti'!A2:A455,"030.*",'Piano dei Conti'!B2:B455,"Sottoconto")-SUMIFS('Piano dei Conti'!H2:H455,'Piano dei Conti'!A2:A455,"030.*",'Piano dei Conti'!B2:B455,"Sottoconto")</f>
        <v>25000</v>
      </c>
    </row>
    <row r="18" spans="1:2" x14ac:dyDescent="0.35">
      <c r="A18" s="48" t="s">
        <v>1168</v>
      </c>
      <c r="B18" s="49">
        <f>SUMIFS('Piano dei Conti'!G2:G455,'Piano dei Conti'!A2:A455,"030.005.0005",'Piano dei Conti'!B2:B455,"Sottoconto")-SUMIFS('Piano dei Conti'!H2:H455,'Piano dei Conti'!A2:A455,"030.005.0005",'Piano dei Conti'!B2:B455,"Sottoconto")</f>
        <v>25000</v>
      </c>
    </row>
    <row r="19" spans="1:2" x14ac:dyDescent="0.35">
      <c r="A19" s="50" t="s">
        <v>1169</v>
      </c>
      <c r="B19" s="19">
        <f>B6+B12+B17</f>
        <v>1220500</v>
      </c>
    </row>
    <row r="20" spans="1:2" x14ac:dyDescent="0.35">
      <c r="A20" s="43" t="s">
        <v>1170</v>
      </c>
      <c r="B20" s="45"/>
    </row>
    <row r="21" spans="1:2" x14ac:dyDescent="0.35">
      <c r="A21" s="46" t="s">
        <v>1171</v>
      </c>
      <c r="B21" s="47">
        <f>SUMIFS('Piano dei Conti'!G2:G455,'Piano dei Conti'!A2:A455,"040.*",'Piano dei Conti'!B2:B455,"Sottoconto")-SUMIFS('Piano dei Conti'!H2:H455,'Piano dei Conti'!A2:A455,"040.*",'Piano dei Conti'!B2:B455,"Sottoconto")</f>
        <v>390000</v>
      </c>
    </row>
    <row r="22" spans="1:2" x14ac:dyDescent="0.35">
      <c r="A22" s="48" t="s">
        <v>1172</v>
      </c>
      <c r="B22" s="49">
        <f>SUMIFS('Piano dei Conti'!G2:G455,'Piano dei Conti'!A2:A455,"040.005.*",'Piano dei Conti'!B2:B455,"Sottoconto")-SUMIFS('Piano dei Conti'!H2:H455,'Piano dei Conti'!A2:A455,"040.005.*",'Piano dei Conti'!B2:B455,"Sottoconto")</f>
        <v>180000</v>
      </c>
    </row>
    <row r="23" spans="1:2" x14ac:dyDescent="0.35">
      <c r="A23" s="48" t="s">
        <v>1173</v>
      </c>
      <c r="B23" s="49">
        <f>SUMIFS('Piano dei Conti'!G2:G455,'Piano dei Conti'!A2:A455,"040.010.*",'Piano dei Conti'!B2:B455,"Sottoconto")-SUMIFS('Piano dei Conti'!H2:H455,'Piano dei Conti'!A2:A455,"040.010.*",'Piano dei Conti'!B2:B455,"Sottoconto")</f>
        <v>50000</v>
      </c>
    </row>
    <row r="24" spans="1:2" x14ac:dyDescent="0.35">
      <c r="A24" s="48" t="s">
        <v>1174</v>
      </c>
      <c r="B24" s="49">
        <f>SUMIFS('Piano dei Conti'!G2:G455,'Piano dei Conti'!A2:A455,"040.020.*",'Piano dei Conti'!B2:B455,"Sottoconto")-SUMIFS('Piano dei Conti'!H2:H455,'Piano dei Conti'!A2:A455,"040.020.*",'Piano dei Conti'!B2:B455,"Sottoconto")</f>
        <v>160000</v>
      </c>
    </row>
    <row r="25" spans="1:2" x14ac:dyDescent="0.35">
      <c r="A25" s="46" t="s">
        <v>1175</v>
      </c>
      <c r="B25" s="47">
        <f>SUMIFS('Piano dei Conti'!G2:G455,'Piano dei Conti'!A2:A455,"050.*",'Piano dei Conti'!B2:B455,"Sottoconto")-SUMIFS('Piano dei Conti'!H2:H455,'Piano dei Conti'!A2:A455,"050.*",'Piano dei Conti'!B2:B455,"Sottoconto")</f>
        <v>1097000</v>
      </c>
    </row>
    <row r="26" spans="1:2" x14ac:dyDescent="0.35">
      <c r="A26" s="48" t="s">
        <v>1176</v>
      </c>
      <c r="B26" s="49">
        <f>SUMIFS('Piano dei Conti'!G2:G455,'Piano dei Conti'!A2:A455,"050.005.*",'Piano dei Conti'!B2:B455,"Sottoconto")-SUMIFS('Piano dei Conti'!H2:H455,'Piano dei Conti'!A2:A455,"050.005.*",'Piano dei Conti'!B2:B455,"Sottoconto")</f>
        <v>1045000</v>
      </c>
    </row>
    <row r="27" spans="1:2" x14ac:dyDescent="0.35">
      <c r="A27" s="48" t="s">
        <v>1177</v>
      </c>
      <c r="B27" s="49">
        <f>SUMIFS('Piano dei Conti'!G2:G455,'Piano dei Conti'!A2:A455,"050.030.*",'Piano dei Conti'!B2:B455,"Sottoconto")-SUMIFS('Piano dei Conti'!H2:H455,'Piano dei Conti'!A2:A455,"050.030.*",'Piano dei Conti'!B2:B455,"Sottoconto")</f>
        <v>23500</v>
      </c>
    </row>
    <row r="28" spans="1:2" x14ac:dyDescent="0.35">
      <c r="A28" s="48" t="s">
        <v>1178</v>
      </c>
      <c r="B28" s="49">
        <f>SUMIFS('Piano dei Conti'!G2:G455,'Piano dei Conti'!A2:A455,"050.035.*",'Piano dei Conti'!B2:B455,"Sottoconto")-SUMIFS('Piano dei Conti'!H2:H455,'Piano dei Conti'!A2:A455,"050.035.*",'Piano dei Conti'!B2:B455,"Sottoconto")</f>
        <v>18000</v>
      </c>
    </row>
    <row r="29" spans="1:2" x14ac:dyDescent="0.35">
      <c r="A29" s="48" t="s">
        <v>1179</v>
      </c>
      <c r="B29" s="49">
        <f>SUMIFS('Piano dei Conti'!G2:G455,'Piano dei Conti'!A2:A455,"050.040.*",'Piano dei Conti'!B2:B455,"Sottoconto")-SUMIFS('Piano dei Conti'!H2:H455,'Piano dei Conti'!A2:A455,"050.040.*",'Piano dei Conti'!B2:B455,"Sottoconto")</f>
        <v>10500</v>
      </c>
    </row>
    <row r="30" spans="1:2" x14ac:dyDescent="0.35">
      <c r="A30" s="46" t="s">
        <v>1180</v>
      </c>
      <c r="B30" s="47">
        <f>SUMIFS('Piano dei Conti'!G2:G455,'Piano dei Conti'!A2:A455,"070.*",'Piano dei Conti'!B2:B455,"Sottoconto")-SUMIFS('Piano dei Conti'!H2:H455,'Piano dei Conti'!A2:A455,"070.*",'Piano dei Conti'!B2:B455,"Sottoconto")</f>
        <v>132300</v>
      </c>
    </row>
    <row r="31" spans="1:2" x14ac:dyDescent="0.35">
      <c r="A31" s="48" t="s">
        <v>1181</v>
      </c>
      <c r="B31" s="49">
        <f>SUMIFS('Piano dei Conti'!G2:G455,'Piano dei Conti'!A2:A455,"070.005.*",'Piano dei Conti'!B2:B455,"Sottoconto")-SUMIFS('Piano dei Conti'!H2:H455,'Piano dei Conti'!A2:A455,"070.005.*",'Piano dei Conti'!B2:B455,"Sottoconto")</f>
        <v>130000</v>
      </c>
    </row>
    <row r="32" spans="1:2" x14ac:dyDescent="0.35">
      <c r="A32" s="48" t="s">
        <v>1182</v>
      </c>
      <c r="B32" s="49">
        <f>SUMIFS('Piano dei Conti'!G2:G455,'Piano dei Conti'!A2:A455,"070.015.*",'Piano dei Conti'!B2:B455,"Sottoconto")-SUMIFS('Piano dei Conti'!H2:H455,'Piano dei Conti'!A2:A455,"070.015.*",'Piano dei Conti'!B2:B455,"Sottoconto")</f>
        <v>2300</v>
      </c>
    </row>
    <row r="33" spans="1:2" x14ac:dyDescent="0.35">
      <c r="A33" s="50" t="s">
        <v>1183</v>
      </c>
      <c r="B33" s="19">
        <f>B21+B25+B30</f>
        <v>1619300</v>
      </c>
    </row>
    <row r="34" spans="1:2" x14ac:dyDescent="0.35">
      <c r="A34" s="43" t="s">
        <v>1184</v>
      </c>
      <c r="B34" s="44">
        <f>SUMIFS('Piano dei Conti'!G2:G455,'Piano dei Conti'!A2:A455,"080.*",'Piano dei Conti'!B2:B455,"Sottoconto")-SUMIFS('Piano dei Conti'!H2:H455,'Piano dei Conti'!A2:A455,"080.*",'Piano dei Conti'!B2:B455,"Sottoconto")</f>
        <v>8000</v>
      </c>
    </row>
    <row r="35" spans="1:2" x14ac:dyDescent="0.35">
      <c r="A35" s="51"/>
    </row>
    <row r="36" spans="1:2" x14ac:dyDescent="0.35">
      <c r="A36" s="50" t="s">
        <v>1185</v>
      </c>
      <c r="B36" s="19">
        <f>B19+B33+B34</f>
        <v>2847800</v>
      </c>
    </row>
    <row r="37" spans="1:2" x14ac:dyDescent="0.35">
      <c r="A37" s="51"/>
    </row>
    <row r="38" spans="1:2" ht="15.5" x14ac:dyDescent="0.35">
      <c r="A38" s="41" t="s">
        <v>1186</v>
      </c>
      <c r="B38" s="42"/>
    </row>
    <row r="39" spans="1:2" x14ac:dyDescent="0.35">
      <c r="A39" s="43" t="s">
        <v>1187</v>
      </c>
      <c r="B39" s="45"/>
    </row>
    <row r="40" spans="1:2" x14ac:dyDescent="0.35">
      <c r="A40" s="46" t="s">
        <v>1188</v>
      </c>
      <c r="B40" s="47">
        <f>SUMIFS('Piano dei Conti'!H2:H455,'Piano dei Conti'!A2:A455,"100.005.*",'Piano dei Conti'!B2:B455,"Sottoconto")-SUMIFS('Piano dei Conti'!G2:G455,'Piano dei Conti'!A2:A455,"100.005.*",'Piano dei Conti'!B2:B455,"Sottoconto")</f>
        <v>100000</v>
      </c>
    </row>
    <row r="41" spans="1:2" x14ac:dyDescent="0.35">
      <c r="A41" s="46" t="s">
        <v>1189</v>
      </c>
      <c r="B41" s="47">
        <f>SUMIFS('Piano dei Conti'!H2:H455,'Piano dei Conti'!A2:A455,"100.020.*",'Piano dei Conti'!B2:B455,"Sottoconto")-SUMIFS('Piano dei Conti'!G2:G455,'Piano dei Conti'!A2:A455,"100.020.*",'Piano dei Conti'!B2:B455,"Sottoconto")</f>
        <v>20000</v>
      </c>
    </row>
    <row r="42" spans="1:2" x14ac:dyDescent="0.35">
      <c r="A42" s="46" t="s">
        <v>1190</v>
      </c>
      <c r="B42" s="47">
        <f>SUMIFS('Piano dei Conti'!H2:H455,'Piano dei Conti'!A2:A455,"100.030.*",'Piano dei Conti'!B2:B455,"Sottoconto")-SUMIFS('Piano dei Conti'!G2:G455,'Piano dei Conti'!A2:A455,"100.030.*",'Piano dei Conti'!B2:B455,"Sottoconto")</f>
        <v>234000</v>
      </c>
    </row>
    <row r="43" spans="1:2" x14ac:dyDescent="0.35">
      <c r="A43" s="46" t="s">
        <v>1191</v>
      </c>
      <c r="B43" s="47">
        <f>SUMIFS('Piano dei Conti'!H2:H455,'Piano dei Conti'!A2:A455,"100.040.*",'Piano dei Conti'!B2:B455,"Sottoconto")-SUMIFS('Piano dei Conti'!G2:G455,'Piano dei Conti'!A2:A455,"100.040.*",'Piano dei Conti'!B2:B455,"Sottoconto")</f>
        <v>145300</v>
      </c>
    </row>
    <row r="44" spans="1:2" x14ac:dyDescent="0.35">
      <c r="A44" s="46" t="s">
        <v>1192</v>
      </c>
      <c r="B44" s="47">
        <f>'CE CEE Valorizzato'!B38</f>
        <v>388700</v>
      </c>
    </row>
    <row r="45" spans="1:2" x14ac:dyDescent="0.35">
      <c r="A45" s="50" t="s">
        <v>1193</v>
      </c>
      <c r="B45" s="19">
        <f>B40+B41+B42+B43+B44</f>
        <v>888000</v>
      </c>
    </row>
    <row r="46" spans="1:2" x14ac:dyDescent="0.35">
      <c r="A46" s="43" t="s">
        <v>1194</v>
      </c>
      <c r="B46" s="44">
        <f>SUMIFS('Piano dei Conti'!H2:H455,'Piano dei Conti'!A2:A455,"110.*",'Piano dei Conti'!B2:B455,"Sottoconto")-SUMIFS('Piano dei Conti'!G2:G455,'Piano dei Conti'!A2:A455,"110.*",'Piano dei Conti'!B2:B455,"Sottoconto")</f>
        <v>45000</v>
      </c>
    </row>
    <row r="47" spans="1:2" x14ac:dyDescent="0.35">
      <c r="A47" s="48" t="s">
        <v>1195</v>
      </c>
      <c r="B47" s="49">
        <f>SUMIFS('Piano dei Conti'!H2:H455,'Piano dei Conti'!A2:A455,"110.010.*",'Piano dei Conti'!B2:B455,"Sottoconto")-SUMIFS('Piano dei Conti'!G2:G455,'Piano dei Conti'!A2:A455,"110.010.*",'Piano dei Conti'!B2:B455,"Sottoconto")</f>
        <v>12000</v>
      </c>
    </row>
    <row r="48" spans="1:2" x14ac:dyDescent="0.35">
      <c r="A48" s="48" t="s">
        <v>1196</v>
      </c>
      <c r="B48" s="49">
        <f>SUMIFS('Piano dei Conti'!H2:H455,'Piano dei Conti'!A2:A455,"110.020.*",'Piano dei Conti'!B2:B455,"Sottoconto")-SUMIFS('Piano dei Conti'!G2:G455,'Piano dei Conti'!A2:A455,"110.020.*",'Piano dei Conti'!B2:B455,"Sottoconto")</f>
        <v>33000</v>
      </c>
    </row>
    <row r="49" spans="1:2" x14ac:dyDescent="0.35">
      <c r="A49" s="43" t="s">
        <v>1197</v>
      </c>
      <c r="B49" s="44">
        <f>SUMIFS('Piano dei Conti'!H2:H455,'Piano dei Conti'!A2:A455,"120.*",'Piano dei Conti'!B2:B455,"Sottoconto")-SUMIFS('Piano dei Conti'!G2:G455,'Piano dei Conti'!A2:A455,"120.*",'Piano dei Conti'!B2:B455,"Sottoconto")</f>
        <v>145000</v>
      </c>
    </row>
    <row r="50" spans="1:2" x14ac:dyDescent="0.35">
      <c r="A50" s="43" t="s">
        <v>1198</v>
      </c>
      <c r="B50" s="44">
        <f>SUMIFS('Piano dei Conti'!H2:H455,'Piano dei Conti'!A2:A455,"130.*",'Piano dei Conti'!B2:B455,"Sottoconto")-SUMIFS('Piano dei Conti'!G2:G455,'Piano dei Conti'!A2:A455,"130.*",'Piano dei Conti'!B2:B455,"Sottoconto")</f>
        <v>1761800</v>
      </c>
    </row>
    <row r="51" spans="1:2" x14ac:dyDescent="0.35">
      <c r="A51" s="48" t="s">
        <v>1199</v>
      </c>
      <c r="B51" s="49">
        <f>SUMIFS('Piano dei Conti'!H2:H455,'Piano dei Conti'!A2:A455,"130.010.*",'Piano dei Conti'!B2:B455,"Sottoconto")-SUMIFS('Piano dei Conti'!G2:G455,'Piano dei Conti'!A2:A455,"130.010.*",'Piano dei Conti'!B2:B455,"Sottoconto")</f>
        <v>100000</v>
      </c>
    </row>
    <row r="52" spans="1:2" x14ac:dyDescent="0.35">
      <c r="A52" s="48" t="s">
        <v>1200</v>
      </c>
      <c r="B52" s="49">
        <f>SUMIFS('Piano dei Conti'!H2:H455,'Piano dei Conti'!A2:A455,"130.015.*",'Piano dei Conti'!B2:B455,"Sottoconto")-SUMIFS('Piano dei Conti'!G2:G455,'Piano dei Conti'!A2:A455,"130.015.*",'Piano dei Conti'!B2:B455,"Sottoconto")</f>
        <v>545000</v>
      </c>
    </row>
    <row r="53" spans="1:2" x14ac:dyDescent="0.35">
      <c r="A53" s="48" t="s">
        <v>1201</v>
      </c>
      <c r="B53" s="49">
        <f>SUMIFS('Piano dei Conti'!H2:H455,'Piano dei Conti'!A2:A455,"130.020.*",'Piano dei Conti'!B2:B455,"Sottoconto")-SUMIFS('Piano dei Conti'!G2:G455,'Piano dei Conti'!A2:A455,"130.020.*",'Piano dei Conti'!B2:B455,"Sottoconto")</f>
        <v>60000</v>
      </c>
    </row>
    <row r="54" spans="1:2" x14ac:dyDescent="0.35">
      <c r="A54" s="48" t="s">
        <v>1202</v>
      </c>
      <c r="B54" s="49">
        <f>SUMIFS('Piano dei Conti'!H2:H455,'Piano dei Conti'!A2:A455,"130.025.*",'Piano dei Conti'!B2:B455,"Sottoconto")-SUMIFS('Piano dei Conti'!G2:G455,'Piano dei Conti'!A2:A455,"130.025.*",'Piano dei Conti'!B2:B455,"Sottoconto")</f>
        <v>25000</v>
      </c>
    </row>
    <row r="55" spans="1:2" x14ac:dyDescent="0.35">
      <c r="A55" s="48" t="s">
        <v>1203</v>
      </c>
      <c r="B55" s="49">
        <f>SUMIFS('Piano dei Conti'!H2:H455,'Piano dei Conti'!A2:A455,"130.030.*",'Piano dei Conti'!B2:B455,"Sottoconto")-SUMIFS('Piano dei Conti'!G2:G455,'Piano dei Conti'!A2:A455,"130.030.*",'Piano dei Conti'!B2:B455,"Sottoconto")</f>
        <v>775000</v>
      </c>
    </row>
    <row r="56" spans="1:2" x14ac:dyDescent="0.35">
      <c r="A56" s="48" t="s">
        <v>1204</v>
      </c>
      <c r="B56" s="49">
        <f>SUMIFS('Piano dei Conti'!H2:H455,'Piano dei Conti'!A2:A455,"130.060.*",'Piano dei Conti'!B2:B455,"Sottoconto")-SUMIFS('Piano dei Conti'!G2:G455,'Piano dei Conti'!A2:A455,"130.060.*",'Piano dei Conti'!B2:B455,"Sottoconto")</f>
        <v>130500</v>
      </c>
    </row>
    <row r="57" spans="1:2" x14ac:dyDescent="0.35">
      <c r="A57" s="48" t="s">
        <v>1205</v>
      </c>
      <c r="B57" s="49">
        <f>SUMIFS('Piano dei Conti'!H2:H455,'Piano dei Conti'!A2:A455,"130.065.*",'Piano dei Conti'!B2:B455,"Sottoconto")-SUMIFS('Piano dei Conti'!G2:G455,'Piano dei Conti'!A2:A455,"130.065.*",'Piano dei Conti'!B2:B455,"Sottoconto")</f>
        <v>39300</v>
      </c>
    </row>
    <row r="58" spans="1:2" x14ac:dyDescent="0.35">
      <c r="A58" s="48" t="s">
        <v>1206</v>
      </c>
      <c r="B58" s="49">
        <f>SUMIFS('Piano dei Conti'!H2:H455,'Piano dei Conti'!A2:A455,"130.070.*",'Piano dei Conti'!B2:B455,"Sottoconto")-SUMIFS('Piano dei Conti'!G2:G455,'Piano dei Conti'!A2:A455,"130.070.*",'Piano dei Conti'!B2:B455,"Sottoconto")</f>
        <v>87000</v>
      </c>
    </row>
    <row r="59" spans="1:2" x14ac:dyDescent="0.35">
      <c r="A59" s="43" t="s">
        <v>1207</v>
      </c>
      <c r="B59" s="44">
        <f>SUMIFS('Piano dei Conti'!H2:H455,'Piano dei Conti'!A2:A455,"180.*",'Piano dei Conti'!B2:B455,"Sottoconto")-SUMIFS('Piano dei Conti'!G2:G455,'Piano dei Conti'!A2:A455,"180.*",'Piano dei Conti'!B2:B455,"Sottoconto")</f>
        <v>8000</v>
      </c>
    </row>
    <row r="60" spans="1:2" x14ac:dyDescent="0.35">
      <c r="A60" s="51"/>
    </row>
    <row r="61" spans="1:2" x14ac:dyDescent="0.35">
      <c r="A61" s="50" t="s">
        <v>1208</v>
      </c>
      <c r="B61" s="19">
        <f>B45+B46+B49+B50+B59</f>
        <v>2847800</v>
      </c>
    </row>
    <row r="62" spans="1:2" x14ac:dyDescent="0.35">
      <c r="A62" s="51"/>
    </row>
    <row r="63" spans="1:2" x14ac:dyDescent="0.35">
      <c r="A63" s="50" t="s">
        <v>1209</v>
      </c>
      <c r="B63" s="19">
        <f>B36-B61</f>
        <v>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showGridLines="0" zoomScaleNormal="100" workbookViewId="0">
      <pane ySplit="2" topLeftCell="A9" activePane="bottomLeft" state="frozen"/>
      <selection pane="bottomLeft" sqref="A1:B1"/>
    </sheetView>
  </sheetViews>
  <sheetFormatPr defaultColWidth="8.6328125" defaultRowHeight="14.5" x14ac:dyDescent="0.35"/>
  <cols>
    <col min="1" max="1" width="75" customWidth="1"/>
    <col min="2" max="2" width="18" customWidth="1"/>
  </cols>
  <sheetData>
    <row r="1" spans="1:2" ht="30" customHeight="1" x14ac:dyDescent="0.35">
      <c r="A1" s="1" t="s">
        <v>1210</v>
      </c>
      <c r="B1" s="1"/>
    </row>
    <row r="3" spans="1:2" x14ac:dyDescent="0.35">
      <c r="A3" s="43" t="s">
        <v>1211</v>
      </c>
      <c r="B3" s="45"/>
    </row>
    <row r="4" spans="1:2" x14ac:dyDescent="0.35">
      <c r="A4" s="46" t="s">
        <v>1212</v>
      </c>
      <c r="B4" s="47">
        <f>-1*(SUMIFS('Piano dei Conti'!G2:G455,'Piano dei Conti'!A2:A455,"300.005.*",'Piano dei Conti'!B2:B455,"Sottoconto")-SUMIFS('Piano dei Conti'!H2:H455,'Piano dei Conti'!A2:A455,"300.005.*",'Piano dei Conti'!B2:B455,"Sottoconto"))</f>
        <v>3925000</v>
      </c>
    </row>
    <row r="5" spans="1:2" x14ac:dyDescent="0.35">
      <c r="A5" s="46" t="s">
        <v>1213</v>
      </c>
      <c r="B5" s="47">
        <f>-1*(SUMIFS('Piano dei Conti'!G2:G455,'Piano dei Conti'!A2:A455,"300.010.*",'Piano dei Conti'!B2:B455,"Sottoconto")-SUMIFS('Piano dei Conti'!H2:H455,'Piano dei Conti'!A2:A455,"300.010.*",'Piano dei Conti'!B2:B455,"Sottoconto"))</f>
        <v>45000</v>
      </c>
    </row>
    <row r="6" spans="1:2" x14ac:dyDescent="0.35">
      <c r="A6" s="46" t="s">
        <v>1214</v>
      </c>
      <c r="B6" s="47">
        <f>-1*(SUMIFS('Piano dei Conti'!G2:G455,'Piano dei Conti'!A2:A455,"300.025.*",'Piano dei Conti'!B2:B455,"Sottoconto")-SUMIFS('Piano dei Conti'!H2:H455,'Piano dei Conti'!A2:A455,"300.025.*",'Piano dei Conti'!B2:B455,"Sottoconto"))</f>
        <v>58000</v>
      </c>
    </row>
    <row r="7" spans="1:2" x14ac:dyDescent="0.35">
      <c r="A7" s="48" t="s">
        <v>1215</v>
      </c>
      <c r="B7" s="49">
        <f>-1*(SUMIFS('Piano dei Conti'!G2:G455,'Piano dei Conti'!A2:A455,"300.025.0003",'Piano dei Conti'!B2:B455,"Sottoconto")-SUMIFS('Piano dei Conti'!H2:H455,'Piano dei Conti'!A2:A455,"300.025.0003",'Piano dei Conti'!B2:B455,"Sottoconto"))</f>
        <v>8000</v>
      </c>
    </row>
    <row r="8" spans="1:2" x14ac:dyDescent="0.35">
      <c r="A8" s="50" t="s">
        <v>1216</v>
      </c>
      <c r="B8" s="19">
        <f>B4+B5+B6</f>
        <v>4028000</v>
      </c>
    </row>
    <row r="9" spans="1:2" x14ac:dyDescent="0.35">
      <c r="A9" s="51"/>
    </row>
    <row r="10" spans="1:2" x14ac:dyDescent="0.35">
      <c r="A10" s="43" t="s">
        <v>1217</v>
      </c>
      <c r="B10" s="45"/>
    </row>
    <row r="11" spans="1:2" x14ac:dyDescent="0.35">
      <c r="A11" s="46" t="s">
        <v>1218</v>
      </c>
      <c r="B11" s="47">
        <f>SUMIFS('Piano dei Conti'!G2:G455,'Piano dei Conti'!A2:A455,"200.005.*",'Piano dei Conti'!B2:B455,"Sottoconto")-SUMIFS('Piano dei Conti'!H2:H455,'Piano dei Conti'!A2:A455,"200.005.*",'Piano dei Conti'!B2:B455,"Sottoconto")</f>
        <v>1453000</v>
      </c>
    </row>
    <row r="12" spans="1:2" x14ac:dyDescent="0.35">
      <c r="A12" s="46" t="s">
        <v>1219</v>
      </c>
      <c r="B12" s="47">
        <f>SUMIFS('Piano dei Conti'!G2:G455,'Piano dei Conti'!A2:A455,"200.010.*",'Piano dei Conti'!B2:B455,"Sottoconto")-SUMIFS('Piano dei Conti'!H2:H455,'Piano dei Conti'!A2:A455,"200.010.*",'Piano dei Conti'!B2:B455,"Sottoconto")</f>
        <v>758000</v>
      </c>
    </row>
    <row r="13" spans="1:2" x14ac:dyDescent="0.35">
      <c r="A13" s="46" t="s">
        <v>1220</v>
      </c>
      <c r="B13" s="47">
        <f>SUMIFS('Piano dei Conti'!G2:G455,'Piano dei Conti'!A2:A455,"200.015.*",'Piano dei Conti'!B2:B455,"Sottoconto")-SUMIFS('Piano dei Conti'!H2:H455,'Piano dei Conti'!A2:A455,"200.015.*",'Piano dei Conti'!B2:B455,"Sottoconto")</f>
        <v>165000</v>
      </c>
    </row>
    <row r="14" spans="1:2" x14ac:dyDescent="0.35">
      <c r="A14" s="46" t="s">
        <v>1221</v>
      </c>
      <c r="B14" s="47">
        <f>SUMIFS('Piano dei Conti'!G2:G455,'Piano dei Conti'!A2:A455,"200.020.*",'Piano dei Conti'!B2:B455,"Sottoconto")-SUMIFS('Piano dei Conti'!H2:H455,'Piano dei Conti'!A2:A455,"200.020.*",'Piano dei Conti'!B2:B455,"Sottoconto")</f>
        <v>837000</v>
      </c>
    </row>
    <row r="15" spans="1:2" x14ac:dyDescent="0.35">
      <c r="A15" s="48" t="s">
        <v>1222</v>
      </c>
      <c r="B15" s="49">
        <f>SUMIFS('Piano dei Conti'!G2:G455,'Piano dei Conti'!A2:A455,"200.020.0001",'Piano dei Conti'!B2:B455,"Sottoconto")-SUMIFS('Piano dei Conti'!H2:H455,'Piano dei Conti'!A2:A455,"200.020.0001",'Piano dei Conti'!B2:B455,"Sottoconto")</f>
        <v>580000</v>
      </c>
    </row>
    <row r="16" spans="1:2" x14ac:dyDescent="0.35">
      <c r="A16" s="48" t="s">
        <v>1223</v>
      </c>
      <c r="B16" s="49">
        <f>SUMIFS('Piano dei Conti'!G2:G455,'Piano dei Conti'!A2:A455,"200.020.0002",'Piano dei Conti'!B2:B455,"Sottoconto")-SUMIFS('Piano dei Conti'!H2:H455,'Piano dei Conti'!A2:A455,"200.020.0002",'Piano dei Conti'!B2:B455,"Sottoconto")+SUMIFS('Piano dei Conti'!G2:G455,'Piano dei Conti'!A2:A455,"200.020.0003",'Piano dei Conti'!B2:B455,"Sottoconto")-SUMIFS('Piano dei Conti'!H2:H455,'Piano dei Conti'!A2:A455,"200.020.0003",'Piano dei Conti'!B2:B455,"Sottoconto")</f>
        <v>187000</v>
      </c>
    </row>
    <row r="17" spans="1:2" x14ac:dyDescent="0.35">
      <c r="A17" s="48" t="s">
        <v>1224</v>
      </c>
      <c r="B17" s="49">
        <f>SUMIFS('Piano dei Conti'!G2:G455,'Piano dei Conti'!A2:A455,"200.020.0004",'Piano dei Conti'!B2:B455,"Sottoconto")-SUMIFS('Piano dei Conti'!H2:H455,'Piano dei Conti'!A2:A455,"200.020.0004",'Piano dei Conti'!B2:B455,"Sottoconto")</f>
        <v>42000</v>
      </c>
    </row>
    <row r="18" spans="1:2" x14ac:dyDescent="0.35">
      <c r="A18" s="48" t="s">
        <v>1225</v>
      </c>
      <c r="B18" s="49">
        <f>SUMIFS('Piano dei Conti'!G2:G455,'Piano dei Conti'!A2:A455,"200.020.0006",'Piano dei Conti'!B2:B455,"Sottoconto")-SUMIFS('Piano dei Conti'!H2:H455,'Piano dei Conti'!A2:A455,"200.020.0006",'Piano dei Conti'!B2:B455,"Sottoconto")+SUMIFS('Piano dei Conti'!G2:G455,'Piano dei Conti'!A2:A455,"200.020.0007",'Piano dei Conti'!B2:B455,"Sottoconto")-SUMIFS('Piano dei Conti'!H2:H455,'Piano dei Conti'!A2:A455,"200.020.0007",'Piano dei Conti'!B2:B455,"Sottoconto")+SUMIFS('Piano dei Conti'!G2:G455,'Piano dei Conti'!A2:A455,"200.020.0008",'Piano dei Conti'!B2:B455,"Sottoconto")-SUMIFS('Piano dei Conti'!H2:H455,'Piano dei Conti'!A2:A455,"200.020.0008",'Piano dei Conti'!B2:B455,"Sottoconto")</f>
        <v>28000</v>
      </c>
    </row>
    <row r="19" spans="1:2" x14ac:dyDescent="0.35">
      <c r="A19" s="46" t="s">
        <v>1226</v>
      </c>
      <c r="B19" s="47">
        <f>SUMIFS('Piano dei Conti'!G2:G455,'Piano dei Conti'!A2:A455,"200.025.*",'Piano dei Conti'!B2:B455,"Sottoconto")-SUMIFS('Piano dei Conti'!H2:H455,'Piano dei Conti'!A2:A455,"200.025.*",'Piano dei Conti'!B2:B455,"Sottoconto")</f>
        <v>185000</v>
      </c>
    </row>
    <row r="20" spans="1:2" x14ac:dyDescent="0.35">
      <c r="A20" s="48" t="s">
        <v>1227</v>
      </c>
      <c r="B20" s="49">
        <f>SUMIFS('Piano dei Conti'!G2:G455,'Piano dei Conti'!A2:A455,"200.025.0001",'Piano dei Conti'!B2:B455,"Sottoconto")-SUMIFS('Piano dei Conti'!H2:H455,'Piano dei Conti'!A2:A455,"200.025.0001",'Piano dei Conti'!B2:B455,"Sottoconto")</f>
        <v>28000</v>
      </c>
    </row>
    <row r="21" spans="1:2" x14ac:dyDescent="0.35">
      <c r="A21" s="48" t="s">
        <v>1228</v>
      </c>
      <c r="B21" s="49">
        <f>SUMIFS('Piano dei Conti'!G2:G455,'Piano dei Conti'!A2:A455,"200.025.0002",'Piano dei Conti'!B2:B455,"Sottoconto")-SUMIFS('Piano dei Conti'!H2:H455,'Piano dei Conti'!A2:A455,"200.025.0002",'Piano dei Conti'!B2:B455,"Sottoconto")</f>
        <v>145000</v>
      </c>
    </row>
    <row r="22" spans="1:2" x14ac:dyDescent="0.35">
      <c r="A22" s="48" t="s">
        <v>1229</v>
      </c>
      <c r="B22" s="49">
        <f>SUMIFS('Piano dei Conti'!G2:G455,'Piano dei Conti'!A2:A455,"200.025.0004",'Piano dei Conti'!B2:B455,"Sottoconto")-SUMIFS('Piano dei Conti'!H2:H455,'Piano dei Conti'!A2:A455,"200.025.0004",'Piano dei Conti'!B2:B455,"Sottoconto")</f>
        <v>12000</v>
      </c>
    </row>
    <row r="23" spans="1:2" x14ac:dyDescent="0.35">
      <c r="A23" s="46" t="s">
        <v>1230</v>
      </c>
      <c r="B23" s="47">
        <f>SUMIFS('Piano dei Conti'!G2:G455,'Piano dei Conti'!A2:A455,"200.030.*",'Piano dei Conti'!B2:B455,"Sottoconto")-SUMIFS('Piano dei Conti'!H2:H455,'Piano dei Conti'!A2:A455,"200.030.*",'Piano dei Conti'!B2:B455,"Sottoconto")</f>
        <v>-20000</v>
      </c>
    </row>
    <row r="24" spans="1:2" x14ac:dyDescent="0.35">
      <c r="A24" s="46" t="s">
        <v>1231</v>
      </c>
      <c r="B24" s="47">
        <f>SUMIFS('Piano dei Conti'!G2:G455,'Piano dei Conti'!A2:A455,"200.035.*",'Piano dei Conti'!B2:B455,"Sottoconto")-SUMIFS('Piano dei Conti'!H2:H455,'Piano dei Conti'!A2:A455,"200.035.*",'Piano dei Conti'!B2:B455,"Sottoconto")</f>
        <v>8000</v>
      </c>
    </row>
    <row r="25" spans="1:2" x14ac:dyDescent="0.35">
      <c r="A25" s="46" t="s">
        <v>1232</v>
      </c>
      <c r="B25" s="47">
        <f>SUMIFS('Piano dei Conti'!G2:G455,'Piano dei Conti'!A2:A455,"200.045.*",'Piano dei Conti'!B2:B455,"Sottoconto")-SUMIFS('Piano dei Conti'!H2:H455,'Piano dei Conti'!A2:A455,"200.045.*",'Piano dei Conti'!B2:B455,"Sottoconto")</f>
        <v>36100</v>
      </c>
    </row>
    <row r="26" spans="1:2" x14ac:dyDescent="0.35">
      <c r="A26" s="50" t="s">
        <v>1233</v>
      </c>
      <c r="B26" s="19">
        <f>B11+B12+B13+B14+B19+B23+B24+B25</f>
        <v>3422100</v>
      </c>
    </row>
    <row r="27" spans="1:2" x14ac:dyDescent="0.35">
      <c r="A27" s="51"/>
    </row>
    <row r="28" spans="1:2" x14ac:dyDescent="0.35">
      <c r="A28" s="50" t="s">
        <v>1234</v>
      </c>
      <c r="B28" s="19">
        <f>B8-B26</f>
        <v>605900</v>
      </c>
    </row>
    <row r="29" spans="1:2" x14ac:dyDescent="0.35">
      <c r="A29" s="51"/>
    </row>
    <row r="30" spans="1:2" x14ac:dyDescent="0.35">
      <c r="A30" s="43" t="s">
        <v>1235</v>
      </c>
      <c r="B30" s="45"/>
    </row>
    <row r="31" spans="1:2" x14ac:dyDescent="0.35">
      <c r="A31" s="46" t="s">
        <v>1236</v>
      </c>
      <c r="B31" s="47">
        <f>-1*(SUMIFS('Piano dei Conti'!G2:G455,'Piano dei Conti'!A2:A455,"400.010.*",'Piano dei Conti'!B2:B455,"Sottoconto")-SUMIFS('Piano dei Conti'!H2:H455,'Piano dei Conti'!A2:A455,"400.010.*",'Piano dei Conti'!B2:B455,"Sottoconto"))</f>
        <v>5800</v>
      </c>
    </row>
    <row r="32" spans="1:2" x14ac:dyDescent="0.35">
      <c r="A32" s="46" t="s">
        <v>1237</v>
      </c>
      <c r="B32" s="47">
        <f>SUMIFS('Piano dei Conti'!G2:G455,'Piano dei Conti'!A2:A455,"410.005.*",'Piano dei Conti'!B2:B455,"Sottoconto")-SUMIFS('Piano dei Conti'!H2:H455,'Piano dei Conti'!A2:A455,"410.005.*",'Piano dei Conti'!B2:B455,"Sottoconto")</f>
        <v>56000</v>
      </c>
    </row>
    <row r="33" spans="1:2" x14ac:dyDescent="0.35">
      <c r="A33" s="50" t="s">
        <v>1238</v>
      </c>
      <c r="B33" s="19">
        <f>B31-B32</f>
        <v>-50200</v>
      </c>
    </row>
    <row r="34" spans="1:2" x14ac:dyDescent="0.35">
      <c r="A34" s="51"/>
    </row>
    <row r="35" spans="1:2" x14ac:dyDescent="0.35">
      <c r="A35" s="50" t="s">
        <v>1239</v>
      </c>
      <c r="B35" s="19">
        <f>B28+B33</f>
        <v>555700</v>
      </c>
    </row>
    <row r="36" spans="1:2" x14ac:dyDescent="0.35">
      <c r="A36" s="46" t="s">
        <v>1240</v>
      </c>
      <c r="B36" s="47">
        <f>SUMIFS('Piano dei Conti'!G2:G455,'Piano dei Conti'!A2:A455,"480.005.*",'Piano dei Conti'!B2:B455,"Sottoconto")-SUMIFS('Piano dei Conti'!H2:H455,'Piano dei Conti'!A2:A455,"480.005.*",'Piano dei Conti'!B2:B455,"Sottoconto")</f>
        <v>167000</v>
      </c>
    </row>
    <row r="37" spans="1:2" x14ac:dyDescent="0.35">
      <c r="A37" s="51"/>
    </row>
    <row r="38" spans="1:2" x14ac:dyDescent="0.35">
      <c r="A38" s="50" t="s">
        <v>1241</v>
      </c>
      <c r="B38" s="19">
        <f>B35-B36</f>
        <v>388700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showGridLines="0" tabSelected="1" zoomScaleNormal="100" workbookViewId="0">
      <pane ySplit="1" topLeftCell="A2" activePane="bottomLeft" state="frozen"/>
      <selection pane="bottomLeft" activeCell="C32" sqref="C32"/>
    </sheetView>
  </sheetViews>
  <sheetFormatPr defaultColWidth="8.6328125" defaultRowHeight="14.5" x14ac:dyDescent="0.35"/>
  <cols>
    <col min="1" max="1" width="70" customWidth="1"/>
    <col min="2" max="2" width="25" customWidth="1"/>
  </cols>
  <sheetData>
    <row r="1" spans="1:2" ht="27.75" customHeight="1" x14ac:dyDescent="0.35">
      <c r="A1" s="5" t="s">
        <v>1242</v>
      </c>
      <c r="B1" s="5" t="s">
        <v>1243</v>
      </c>
    </row>
    <row r="2" spans="1:2" ht="15.5" x14ac:dyDescent="0.35">
      <c r="A2" s="52" t="s">
        <v>1153</v>
      </c>
      <c r="B2" s="53"/>
    </row>
    <row r="3" spans="1:2" x14ac:dyDescent="0.35">
      <c r="A3" s="43" t="s">
        <v>1244</v>
      </c>
      <c r="B3" s="6"/>
    </row>
    <row r="4" spans="1:2" x14ac:dyDescent="0.35">
      <c r="A4" s="43" t="s">
        <v>1155</v>
      </c>
      <c r="B4" s="6"/>
    </row>
    <row r="5" spans="1:2" x14ac:dyDescent="0.35">
      <c r="A5" s="46" t="s">
        <v>1245</v>
      </c>
      <c r="B5" s="54" t="s">
        <v>1246</v>
      </c>
    </row>
    <row r="6" spans="1:2" x14ac:dyDescent="0.35">
      <c r="A6" s="46" t="s">
        <v>1247</v>
      </c>
      <c r="B6" s="54" t="s">
        <v>1248</v>
      </c>
    </row>
    <row r="7" spans="1:2" x14ac:dyDescent="0.35">
      <c r="A7" s="46" t="s">
        <v>1249</v>
      </c>
      <c r="B7" s="54" t="s">
        <v>1250</v>
      </c>
    </row>
    <row r="8" spans="1:2" x14ac:dyDescent="0.35">
      <c r="A8" s="43" t="s">
        <v>1170</v>
      </c>
      <c r="B8" s="6"/>
    </row>
    <row r="9" spans="1:2" x14ac:dyDescent="0.35">
      <c r="A9" s="46" t="s">
        <v>1251</v>
      </c>
      <c r="B9" s="54" t="s">
        <v>1252</v>
      </c>
    </row>
    <row r="10" spans="1:2" x14ac:dyDescent="0.35">
      <c r="A10" s="46" t="s">
        <v>1253</v>
      </c>
      <c r="B10" s="54" t="s">
        <v>1254</v>
      </c>
    </row>
    <row r="11" spans="1:2" x14ac:dyDescent="0.35">
      <c r="A11" s="46" t="s">
        <v>1255</v>
      </c>
      <c r="B11" s="54" t="s">
        <v>1256</v>
      </c>
    </row>
    <row r="12" spans="1:2" x14ac:dyDescent="0.35">
      <c r="A12" s="46" t="s">
        <v>1257</v>
      </c>
      <c r="B12" s="54" t="s">
        <v>1258</v>
      </c>
    </row>
    <row r="13" spans="1:2" x14ac:dyDescent="0.35">
      <c r="A13" s="43" t="s">
        <v>1184</v>
      </c>
      <c r="B13" s="6" t="s">
        <v>1259</v>
      </c>
    </row>
    <row r="14" spans="1:2" x14ac:dyDescent="0.35">
      <c r="A14" s="51"/>
      <c r="B14" s="51"/>
    </row>
    <row r="15" spans="1:2" ht="15.5" x14ac:dyDescent="0.35">
      <c r="A15" s="52" t="s">
        <v>1260</v>
      </c>
      <c r="B15" s="53"/>
    </row>
    <row r="16" spans="1:2" x14ac:dyDescent="0.35">
      <c r="A16" s="43" t="s">
        <v>1187</v>
      </c>
      <c r="B16" s="6" t="s">
        <v>1261</v>
      </c>
    </row>
    <row r="17" spans="1:2" x14ac:dyDescent="0.35">
      <c r="A17" s="43" t="s">
        <v>1194</v>
      </c>
      <c r="B17" s="6" t="s">
        <v>1262</v>
      </c>
    </row>
    <row r="18" spans="1:2" x14ac:dyDescent="0.35">
      <c r="A18" s="43" t="s">
        <v>1197</v>
      </c>
      <c r="B18" s="6" t="s">
        <v>1263</v>
      </c>
    </row>
    <row r="19" spans="1:2" x14ac:dyDescent="0.35">
      <c r="A19" s="43" t="s">
        <v>1198</v>
      </c>
      <c r="B19" s="6" t="s">
        <v>1264</v>
      </c>
    </row>
    <row r="20" spans="1:2" x14ac:dyDescent="0.35">
      <c r="A20" s="43" t="s">
        <v>1207</v>
      </c>
      <c r="B20" s="6" t="s">
        <v>1265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90" customWidth="1"/>
  </cols>
  <sheetData>
    <row r="1" spans="1:2" ht="27.75" customHeight="1" x14ac:dyDescent="0.35">
      <c r="A1" s="5" t="s">
        <v>1266</v>
      </c>
      <c r="B1" s="5" t="s">
        <v>1267</v>
      </c>
    </row>
    <row r="2" spans="1:2" x14ac:dyDescent="0.35">
      <c r="A2" s="55" t="s">
        <v>1268</v>
      </c>
      <c r="B2" s="56"/>
    </row>
    <row r="3" spans="1:2" x14ac:dyDescent="0.35">
      <c r="A3" s="57" t="s">
        <v>58</v>
      </c>
      <c r="B3" s="58" t="s">
        <v>1269</v>
      </c>
    </row>
    <row r="4" spans="1:2" x14ac:dyDescent="0.35">
      <c r="A4" s="57" t="s">
        <v>63</v>
      </c>
      <c r="B4" s="58" t="s">
        <v>1270</v>
      </c>
    </row>
    <row r="5" spans="1:2" x14ac:dyDescent="0.35">
      <c r="A5" s="57" t="s">
        <v>67</v>
      </c>
      <c r="B5" s="58" t="s">
        <v>1271</v>
      </c>
    </row>
    <row r="6" spans="1:2" x14ac:dyDescent="0.35">
      <c r="A6" s="51"/>
      <c r="B6" s="59"/>
    </row>
    <row r="7" spans="1:2" x14ac:dyDescent="0.35">
      <c r="A7" s="55" t="s">
        <v>1272</v>
      </c>
      <c r="B7" s="56"/>
    </row>
    <row r="8" spans="1:2" x14ac:dyDescent="0.35">
      <c r="A8" s="57" t="s">
        <v>1273</v>
      </c>
      <c r="B8" s="58" t="s">
        <v>1274</v>
      </c>
    </row>
    <row r="9" spans="1:2" x14ac:dyDescent="0.35">
      <c r="A9" s="57" t="s">
        <v>1275</v>
      </c>
      <c r="B9" s="58" t="s">
        <v>1276</v>
      </c>
    </row>
    <row r="10" spans="1:2" x14ac:dyDescent="0.35">
      <c r="A10" s="57" t="s">
        <v>485</v>
      </c>
      <c r="B10" s="58" t="s">
        <v>1277</v>
      </c>
    </row>
    <row r="11" spans="1:2" x14ac:dyDescent="0.35">
      <c r="A11" s="57" t="s">
        <v>804</v>
      </c>
      <c r="B11" s="58" t="s">
        <v>1278</v>
      </c>
    </row>
    <row r="12" spans="1:2" x14ac:dyDescent="0.35">
      <c r="A12" s="57" t="s">
        <v>738</v>
      </c>
      <c r="B12" s="58" t="s">
        <v>1279</v>
      </c>
    </row>
    <row r="13" spans="1:2" x14ac:dyDescent="0.35">
      <c r="A13" s="57" t="s">
        <v>75</v>
      </c>
      <c r="B13" s="58" t="s">
        <v>1280</v>
      </c>
    </row>
    <row r="14" spans="1:2" x14ac:dyDescent="0.35">
      <c r="A14" s="51"/>
      <c r="B14" s="59"/>
    </row>
    <row r="15" spans="1:2" x14ac:dyDescent="0.35">
      <c r="A15" s="55" t="s">
        <v>53</v>
      </c>
      <c r="B15" s="56"/>
    </row>
    <row r="16" spans="1:2" x14ac:dyDescent="0.35">
      <c r="A16" s="57" t="s">
        <v>69</v>
      </c>
      <c r="B16" s="58" t="s">
        <v>1281</v>
      </c>
    </row>
    <row r="17" spans="1:2" x14ac:dyDescent="0.35">
      <c r="A17" s="57" t="s">
        <v>76</v>
      </c>
      <c r="B17" s="58" t="s">
        <v>1282</v>
      </c>
    </row>
    <row r="18" spans="1:2" x14ac:dyDescent="0.35">
      <c r="A18" s="51"/>
      <c r="B18" s="59"/>
    </row>
    <row r="19" spans="1:2" ht="28" x14ac:dyDescent="0.35">
      <c r="A19" s="55" t="s">
        <v>1283</v>
      </c>
      <c r="B19" s="56"/>
    </row>
    <row r="20" spans="1:2" x14ac:dyDescent="0.35">
      <c r="A20" s="57" t="s">
        <v>1284</v>
      </c>
      <c r="B20" s="58" t="s">
        <v>1285</v>
      </c>
    </row>
    <row r="21" spans="1:2" x14ac:dyDescent="0.35">
      <c r="A21" s="57" t="s">
        <v>1286</v>
      </c>
      <c r="B21" s="58" t="s">
        <v>1287</v>
      </c>
    </row>
    <row r="22" spans="1:2" x14ac:dyDescent="0.35">
      <c r="A22" s="57" t="s">
        <v>1288</v>
      </c>
      <c r="B22" s="58" t="s">
        <v>1289</v>
      </c>
    </row>
    <row r="23" spans="1:2" x14ac:dyDescent="0.35">
      <c r="A23" s="57" t="s">
        <v>1290</v>
      </c>
      <c r="B23" s="58" t="s">
        <v>1291</v>
      </c>
    </row>
    <row r="24" spans="1:2" x14ac:dyDescent="0.35">
      <c r="A24" s="57" t="s">
        <v>1292</v>
      </c>
      <c r="B24" s="58" t="s">
        <v>1293</v>
      </c>
    </row>
    <row r="25" spans="1:2" x14ac:dyDescent="0.35">
      <c r="A25" s="57" t="s">
        <v>1294</v>
      </c>
      <c r="B25" s="58" t="s">
        <v>1295</v>
      </c>
    </row>
    <row r="26" spans="1:2" x14ac:dyDescent="0.35">
      <c r="A26" s="57" t="s">
        <v>476</v>
      </c>
      <c r="B26" s="58" t="s">
        <v>1296</v>
      </c>
    </row>
    <row r="27" spans="1:2" x14ac:dyDescent="0.35">
      <c r="A27" s="57" t="s">
        <v>1297</v>
      </c>
      <c r="B27" s="58" t="s">
        <v>1298</v>
      </c>
    </row>
    <row r="28" spans="1:2" x14ac:dyDescent="0.35">
      <c r="A28" s="57" t="s">
        <v>1299</v>
      </c>
      <c r="B28" s="58" t="s">
        <v>1300</v>
      </c>
    </row>
    <row r="29" spans="1:2" x14ac:dyDescent="0.35">
      <c r="A29" s="57" t="s">
        <v>1301</v>
      </c>
      <c r="B29" s="58" t="s">
        <v>1302</v>
      </c>
    </row>
    <row r="30" spans="1:2" x14ac:dyDescent="0.35">
      <c r="A30" s="57" t="s">
        <v>394</v>
      </c>
      <c r="B30" s="58" t="s">
        <v>1303</v>
      </c>
    </row>
    <row r="31" spans="1:2" x14ac:dyDescent="0.35">
      <c r="A31" s="57" t="s">
        <v>1304</v>
      </c>
      <c r="B31" s="58" t="s">
        <v>1305</v>
      </c>
    </row>
    <row r="32" spans="1:2" x14ac:dyDescent="0.35">
      <c r="A32" s="57" t="s">
        <v>589</v>
      </c>
      <c r="B32" s="58" t="s">
        <v>1306</v>
      </c>
    </row>
    <row r="33" spans="1:2" x14ac:dyDescent="0.35">
      <c r="A33" s="57" t="s">
        <v>1307</v>
      </c>
      <c r="B33" s="58" t="s">
        <v>1308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Note di lettura</vt:lpstr>
      <vt:lpstr>Piano dei Conti</vt:lpstr>
      <vt:lpstr>Bilancio Verifica</vt:lpstr>
      <vt:lpstr>SP CEE Valorizzato</vt:lpstr>
      <vt:lpstr>CE CEE Valorizzato</vt:lpstr>
      <vt:lpstr>Schema SP CEE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Stefano Caiazzo</cp:lastModifiedBy>
  <cp:revision>0</cp:revision>
  <dcterms:created xsi:type="dcterms:W3CDTF">2026-05-05T14:44:54Z</dcterms:created>
  <dcterms:modified xsi:type="dcterms:W3CDTF">2026-05-05T14:53:09Z</dcterms:modified>
  <dc:language>en-US</dc:language>
</cp:coreProperties>
</file>